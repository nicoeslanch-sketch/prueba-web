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740" tabRatio="600" firstSheet="0" activeTab="0" autoFilterDateGrouping="1"/>
  </bookViews>
  <sheets>
    <sheet name="Dashboard" sheetId="1" state="visible" r:id="rId1"/>
    <sheet name="Resumen_Ejecutivo" sheetId="2" state="visible" r:id="rId2"/>
    <sheet name="Vencimientos" sheetId="3" state="visible" r:id="rId3"/>
    <sheet name="Clientes" sheetId="4" state="visible" r:id="rId4"/>
    <sheet name="Proveedores" sheetId="5" state="visible" r:id="rId5"/>
    <sheet name="Productos" sheetId="6" state="visible" r:id="rId6"/>
    <sheet name="Ventas" sheetId="7" state="visible" r:id="rId7"/>
    <sheet name="Doc_Venta" sheetId="8" state="visible" r:id="rId8"/>
    <sheet name="Compras" sheetId="9" state="visible" r:id="rId9"/>
    <sheet name="Orden_Compra" sheetId="10" state="visible" r:id="rId10"/>
    <sheet name="Inventario" sheetId="11" state="visible" r:id="rId11"/>
    <sheet name="Caja" sheetId="12" state="visible" r:id="rId12"/>
    <sheet name="Ctas_Cobrar" sheetId="13" state="visible" r:id="rId13"/>
    <sheet name="Ctas_Pagar" sheetId="14" state="visible" r:id="rId14"/>
    <sheet name="Contabilidad" sheetId="15" state="visible" r:id="rId15"/>
    <sheet name="Conciliacion" sheetId="16" state="visible" r:id="rId16"/>
    <sheet name="Comparador" sheetId="17" state="visible" r:id="rId17"/>
  </sheets>
  <definedNames>
    <definedName name="_xlnm.Print_Area" localSheetId="1">'Resumen_Ejecutivo'!$A$1:$P$40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\$#,##0.00;[Red]\(\$#,##0.00\);\-"/>
    <numFmt numFmtId="165" formatCode="#,##0.00;[Red]\(#,##0.00\);\-"/>
    <numFmt numFmtId="166" formatCode="0.0%"/>
    <numFmt numFmtId="167" formatCode="#,##0;(#,##0);-"/>
    <numFmt numFmtId="168" formatCode="DD/MM/YYYY"/>
    <numFmt numFmtId="169" formatCode="#,##0;(#,##0);&quot;-&quot;"/>
    <numFmt numFmtId="170" formatCode="#,##0.0"/>
    <numFmt numFmtId="171" formatCode="#,##0.0x"/>
  </numFmts>
  <fonts count="7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color rgb="FF203A5F"/>
      <sz val="10"/>
    </font>
    <font>
      <name val="Calibri"/>
      <color rgb="FF000000"/>
      <sz val="10"/>
    </font>
    <font>
      <name val="Calibri"/>
      <color rgb="FF0000FF"/>
      <sz val="10"/>
    </font>
    <font>
      <name val="Calibri"/>
      <color rgb="FF333333"/>
      <sz val="10"/>
    </font>
    <font>
      <name val="Calibri"/>
      <b val="1"/>
      <color rgb="FF2F65CB"/>
      <sz val="18"/>
    </font>
    <font>
      <name val="Calibri"/>
      <sz val="10"/>
    </font>
    <font>
      <name val="Calibri"/>
      <b val="1"/>
      <color rgb="00FFFFFF"/>
      <sz val="20"/>
    </font>
    <font>
      <name val="Calibri"/>
      <color rgb="00C9A84C"/>
      <sz val="11"/>
    </font>
    <font>
      <name val="Calibri"/>
      <color rgb="00D0D4DF"/>
      <sz val="9"/>
    </font>
    <font>
      <name val="Calibri"/>
      <color rgb="00555555"/>
      <sz val="8"/>
    </font>
    <font>
      <name val="Calibri"/>
      <b val="1"/>
      <color rgb="001A7A45"/>
      <sz val="18"/>
    </font>
    <font>
      <name val="Calibri"/>
      <color rgb="00666666"/>
      <sz val="8"/>
    </font>
    <font>
      <name val="Calibri"/>
      <b val="1"/>
      <color rgb="000E6B7A"/>
      <sz val="18"/>
    </font>
    <font>
      <name val="Calibri"/>
      <b val="1"/>
      <color rgb="00E67E22"/>
      <sz val="18"/>
    </font>
    <font>
      <name val="Calibri"/>
      <b val="1"/>
      <color rgb="001A2B4A"/>
      <sz val="18"/>
    </font>
    <font>
      <name val="Calibri"/>
      <b val="1"/>
      <color rgb="00C0392B"/>
      <sz val="18"/>
    </font>
    <font>
      <name val="Calibri"/>
      <b val="1"/>
      <color rgb="00C9A84C"/>
      <sz val="18"/>
    </font>
    <font>
      <name val="Calibri"/>
      <b val="1"/>
      <color rgb="00FFFFFF"/>
      <sz val="12"/>
    </font>
    <font>
      <name val="Calibri"/>
      <b val="1"/>
      <color rgb="001A2B4A"/>
      <sz val="9"/>
    </font>
    <font>
      <name val="Calibri"/>
      <b val="1"/>
      <color rgb="00FFFFFF"/>
      <sz val="9"/>
    </font>
    <font>
      <name val="Calibri"/>
      <b val="1"/>
      <color rgb="001A7A45"/>
      <sz val="9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0E6B7A"/>
      <sz val="9"/>
    </font>
    <font>
      <name val="Calibri"/>
      <b val="1"/>
      <color rgb="001A7A45"/>
      <sz val="10"/>
    </font>
    <font>
      <name val="Calibri"/>
      <b val="1"/>
      <color rgb="00C0392B"/>
      <sz val="10"/>
    </font>
    <font>
      <name val="Calibri"/>
      <b val="1"/>
      <color rgb="00E67E22"/>
      <sz val="10"/>
    </font>
    <font>
      <name val="Calibri"/>
      <b val="1"/>
      <color rgb="000E6B7A"/>
      <sz val="10"/>
    </font>
    <font>
      <name val="Calibri"/>
      <b val="1"/>
      <color rgb="00FFFFFF"/>
      <sz val="16"/>
    </font>
    <font>
      <name val="Calibri"/>
      <i val="1"/>
      <color rgb="00C9A84C"/>
      <sz val="9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E67E22"/>
      <sz val="9"/>
    </font>
    <font>
      <name val="Calibri"/>
      <b val="1"/>
      <color rgb="00FFFFFF"/>
      <sz val="18"/>
    </font>
    <font>
      <name val="Calibri"/>
      <i val="1"/>
      <color rgb="00C9A84C"/>
      <sz val="10"/>
    </font>
    <font>
      <name val="Calibri"/>
      <b val="1"/>
      <color rgb="001A7A45"/>
      <sz val="20"/>
    </font>
    <font>
      <name val="Calibri"/>
      <b val="1"/>
      <color rgb="00C0392B"/>
      <sz val="20"/>
    </font>
    <font>
      <name val="Calibri"/>
      <b val="1"/>
      <color rgb="000E6B7A"/>
      <sz val="20"/>
    </font>
    <font>
      <name val="Calibri"/>
      <b val="1"/>
      <color rgb="00C9A84C"/>
      <sz val="20"/>
    </font>
    <font>
      <name val="Calibri"/>
      <b val="1"/>
      <color rgb="001A2B4A"/>
      <sz val="20"/>
    </font>
    <font>
      <name val="Calibri"/>
      <b val="1"/>
      <color rgb="00E67E22"/>
      <sz val="20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b val="1"/>
      <color rgb="001A2B4A"/>
      <sz val="8"/>
    </font>
    <font>
      <name val="Calibri"/>
      <b val="1"/>
      <color rgb="001A7A45"/>
      <sz val="8"/>
    </font>
    <font>
      <name val="Calibri"/>
      <sz val="8"/>
    </font>
    <font>
      <name val="Calibri"/>
      <b val="1"/>
      <color rgb="00C0392B"/>
      <sz val="8"/>
    </font>
    <font>
      <name val="Calibri"/>
      <b val="1"/>
      <color rgb="000E6B7A"/>
      <sz val="8"/>
    </font>
    <font>
      <name val="Calibri"/>
      <i val="1"/>
      <color rgb="00AAAAAA"/>
      <sz val="7"/>
    </font>
    <font>
      <name val="Arial"/>
      <b val="1"/>
      <color rgb="00FFFFFF"/>
      <sz val="8"/>
    </font>
    <font>
      <name val="Arial"/>
      <color rgb="003D4452"/>
      <sz val="8"/>
    </font>
    <font>
      <name val="Arial"/>
      <b val="1"/>
      <color rgb="001C2B4A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9BA3B0"/>
      <sz val="8"/>
    </font>
    <font>
      <name val="Arial"/>
      <i val="1"/>
      <color rgb="003D4452"/>
      <sz val="9"/>
    </font>
    <font>
      <name val="Arial"/>
      <color rgb="001C2B4A"/>
      <sz val="9"/>
    </font>
    <font>
      <name val="Arial"/>
      <b val="1"/>
      <color rgb="001A7A45"/>
      <sz val="9"/>
    </font>
    <font>
      <name val="Arial"/>
      <color rgb="003D4452"/>
      <sz val="9"/>
    </font>
    <font>
      <name val="Arial"/>
      <color rgb="00B5281F"/>
      <sz val="9"/>
    </font>
    <font>
      <name val="Arial"/>
      <b val="1"/>
      <sz val="9"/>
    </font>
    <font>
      <name val="Arial"/>
      <b val="1"/>
      <color rgb="00B5281F"/>
      <sz val="9"/>
    </font>
    <font>
      <name val="Arial"/>
      <b val="1"/>
      <color rgb="00FFFFFF"/>
      <sz val="10"/>
    </font>
    <font>
      <name val="Arial"/>
      <b val="1"/>
      <color rgb="003D4452"/>
      <sz val="10"/>
    </font>
    <font>
      <name val="Arial"/>
      <b val="1"/>
      <color rgb="001C2B4A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9BA3B0"/>
      <sz val="7"/>
    </font>
    <font>
      <name val="Arial"/>
      <b val="1"/>
      <color rgb="001C2B4A"/>
      <sz val="16"/>
    </font>
    <font>
      <name val="Arial"/>
      <i val="1"/>
      <color rgb="009BA3B0"/>
      <sz val="7"/>
    </font>
    <font>
      <name val="Arial"/>
      <color rgb="003D4452"/>
      <sz val="11"/>
    </font>
    <font>
      <name val="Arial"/>
      <b val="1"/>
      <color rgb="FF203A5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FFFFFF"/>
      <sz val="11"/>
    </font>
  </fonts>
  <fills count="36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203A5F"/>
      </patternFill>
    </fill>
    <fill>
      <patternFill patternType="solid">
        <fgColor rgb="FF2F65CB"/>
      </patternFill>
    </fill>
    <fill>
      <patternFill patternType="solid">
        <fgColor rgb="FF7E3AF2"/>
      </patternFill>
    </fill>
    <fill>
      <patternFill patternType="solid">
        <fgColor rgb="FFE95C0C"/>
      </patternFill>
    </fill>
    <fill>
      <patternFill patternType="solid">
        <fgColor rgb="FF20B486"/>
      </patternFill>
    </fill>
    <fill>
      <patternFill patternType="solid">
        <fgColor rgb="FFF4F4F4"/>
      </patternFill>
    </fill>
    <fill>
      <patternFill patternType="solid">
        <fgColor rgb="FFDCEBFF"/>
      </patternFill>
    </fill>
    <fill>
      <patternFill patternType="solid">
        <fgColor rgb="FFEBDDFF"/>
      </patternFill>
    </fill>
    <fill>
      <patternFill patternType="solid">
        <fgColor rgb="FFD9F3EA"/>
      </patternFill>
    </fill>
    <fill>
      <patternFill patternType="solid">
        <fgColor rgb="FFFDE7DA"/>
      </patternFill>
    </fill>
    <fill>
      <patternFill patternType="solid">
        <fgColor rgb="FFFFF7CC"/>
      </patternFill>
    </fill>
    <fill>
      <patternFill patternType="solid">
        <fgColor rgb="00FFFFFF"/>
      </patternFill>
    </fill>
    <fill>
      <patternFill patternType="solid">
        <fgColor rgb="001A2B4A"/>
      </patternFill>
    </fill>
    <fill>
      <patternFill patternType="solid">
        <fgColor rgb="00C9A84C"/>
      </patternFill>
    </fill>
    <fill>
      <patternFill patternType="solid">
        <fgColor rgb="00F4F6FA"/>
      </patternFill>
    </fill>
    <fill>
      <patternFill patternType="solid">
        <fgColor rgb="001A7A45"/>
      </patternFill>
    </fill>
    <fill>
      <patternFill patternType="solid">
        <fgColor rgb="000E6B7A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D0D4DF"/>
      </patternFill>
    </fill>
    <fill>
      <patternFill patternType="solid">
        <fgColor rgb="00D4EDDA"/>
      </patternFill>
    </fill>
    <fill>
      <patternFill patternType="solid">
        <fgColor rgb="00EEF1F8"/>
      </patternFill>
    </fill>
    <fill>
      <patternFill patternType="solid">
        <fgColor rgb="00F5E9C0"/>
      </patternFill>
    </fill>
    <fill>
      <patternFill patternType="solid">
        <fgColor rgb="00FDECEA"/>
      </patternFill>
    </fill>
    <fill>
      <patternFill patternType="solid">
        <fgColor rgb="00D0EDF2"/>
      </patternFill>
    </fill>
    <fill>
      <patternFill patternType="solid">
        <fgColor rgb="00FEF3E2"/>
      </patternFill>
    </fill>
    <fill>
      <patternFill patternType="solid">
        <fgColor rgb="001C2B4A"/>
      </patternFill>
    </fill>
    <fill>
      <patternFill patternType="solid">
        <fgColor rgb="00F7F8FA"/>
      </patternFill>
    </fill>
    <fill>
      <patternFill patternType="solid">
        <fgColor rgb="00B5281F"/>
      </patternFill>
    </fill>
    <fill>
      <patternFill patternType="solid">
        <fgColor rgb="00B8962E"/>
      </patternFill>
    </fill>
    <fill>
      <patternFill patternType="solid">
        <fgColor rgb="00EBF0F8"/>
      </patternFill>
    </fill>
    <fill>
      <patternFill patternType="solid">
        <fgColor rgb="00E8EBF0"/>
      </patternFill>
    </fill>
    <fill>
      <patternFill patternType="solid">
        <fgColor rgb="00E8F5EE"/>
      </patternFill>
    </fill>
  </fills>
  <borders count="16">
    <border>
      <left/>
      <right/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  <border>
      <left/>
      <right/>
      <top style="thin">
        <color rgb="FFD7D7D7"/>
      </top>
      <bottom/>
      <diagonal/>
    </border>
    <border>
      <left/>
      <right style="thin">
        <color rgb="FFD7D7D7"/>
      </right>
      <top style="thin">
        <color rgb="FFD7D7D7"/>
      </top>
      <bottom/>
      <diagonal/>
    </border>
    <border>
      <left/>
      <right/>
      <top style="thin">
        <color rgb="FFD7D7D7"/>
      </top>
      <bottom style="thin">
        <color rgb="FFD7D7D7"/>
      </bottom>
      <diagonal/>
    </border>
    <border>
      <left/>
      <right style="thin">
        <color rgb="FFD7D7D7"/>
      </right>
      <top style="thin">
        <color rgb="FFD7D7D7"/>
      </top>
      <bottom style="thin">
        <color rgb="FFD7D7D7"/>
      </bottom>
      <diagonal/>
    </border>
    <border>
      <left style="thin">
        <color rgb="FFD7D7D7"/>
      </left>
      <right/>
      <top/>
      <bottom/>
      <diagonal/>
    </border>
    <border>
      <left/>
      <right style="thin">
        <color rgb="FFD7D7D7"/>
      </right>
      <top/>
      <bottom/>
      <diagonal/>
    </border>
    <border>
      <left style="thin">
        <color rgb="FFD7D7D7"/>
      </left>
      <right/>
      <top/>
      <bottom style="thin">
        <color rgb="FFD7D7D7"/>
      </bottom>
      <diagonal/>
    </border>
    <border>
      <left/>
      <right/>
      <top/>
      <bottom style="thin">
        <color rgb="FFD7D7D7"/>
      </bottom>
      <diagonal/>
    </border>
    <border>
      <left/>
      <right style="thin">
        <color rgb="FFD7D7D7"/>
      </right>
      <top/>
      <bottom style="thin">
        <color rgb="FFD7D7D7"/>
      </bottom>
      <diagonal/>
    </border>
    <border/>
    <border>
      <left style="thin"/>
      <right style="thin"/>
      <top style="thin"/>
      <bottom style="thin"/>
    </border>
    <border>
      <top style="thin"/>
      <bottom style="thin"/>
    </border>
    <border>
      <bottom style="thin">
        <color rgb="00D0D4DC"/>
      </bottom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279">
    <xf numFmtId="0" fontId="0" fillId="0" borderId="0" pivotButton="0" quotePrefix="0" xfId="0"/>
    <xf numFmtId="0" fontId="0" fillId="2" borderId="0" pivotButton="0" quotePrefix="0" xfId="0"/>
    <xf numFmtId="0" fontId="3" fillId="8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0" fontId="6" fillId="2" borderId="0" pivotButton="0" quotePrefix="0" xfId="0"/>
    <xf numFmtId="1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left" vertical="center"/>
    </xf>
    <xf numFmtId="165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1" fontId="4" fillId="8" borderId="1" applyAlignment="1" pivotButton="0" quotePrefix="0" xfId="0">
      <alignment horizontal="right" vertical="center"/>
    </xf>
    <xf numFmtId="1" fontId="4" fillId="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0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6" fontId="4" fillId="9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1" fontId="4" fillId="9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8" fillId="15" borderId="11" pivotButton="0" quotePrefix="0" xfId="0"/>
    <xf numFmtId="0" fontId="0" fillId="15" borderId="0" pivotButton="0" quotePrefix="0" xfId="0"/>
    <xf numFmtId="0" fontId="9" fillId="15" borderId="0" applyAlignment="1" pivotButton="0" quotePrefix="0" xfId="0">
      <alignment horizontal="left" vertical="center"/>
    </xf>
    <xf numFmtId="0" fontId="10" fillId="15" borderId="0" applyAlignment="1" pivotButton="0" quotePrefix="0" xfId="0">
      <alignment horizontal="right" vertical="center"/>
    </xf>
    <xf numFmtId="0" fontId="11" fillId="15" borderId="11" applyAlignment="1" pivotButton="0" quotePrefix="0" xfId="0">
      <alignment horizontal="left" vertical="center"/>
    </xf>
    <xf numFmtId="0" fontId="8" fillId="16" borderId="11" pivotButton="0" quotePrefix="0" xfId="0"/>
    <xf numFmtId="0" fontId="0" fillId="16" borderId="0" pivotButton="0" quotePrefix="0" xfId="0"/>
    <xf numFmtId="0" fontId="0" fillId="18" borderId="11" pivotButton="0" quotePrefix="0" xfId="0"/>
    <xf numFmtId="0" fontId="8" fillId="18" borderId="11" pivotButton="0" quotePrefix="0" xfId="0"/>
    <xf numFmtId="0" fontId="0" fillId="19" borderId="11" pivotButton="0" quotePrefix="0" xfId="0"/>
    <xf numFmtId="0" fontId="8" fillId="19" borderId="11" pivotButton="0" quotePrefix="0" xfId="0"/>
    <xf numFmtId="0" fontId="8" fillId="20" borderId="11" pivotButton="0" quotePrefix="0" xfId="0"/>
    <xf numFmtId="0" fontId="0" fillId="20" borderId="11" pivotButton="0" quotePrefix="0" xfId="0"/>
    <xf numFmtId="0" fontId="8" fillId="14" borderId="11" pivotButton="0" quotePrefix="0" xfId="0"/>
    <xf numFmtId="0" fontId="12" fillId="17" borderId="11" applyAlignment="1" pivotButton="0" quotePrefix="0" xfId="0">
      <alignment horizontal="left" vertical="center"/>
    </xf>
    <xf numFmtId="167" fontId="13" fillId="17" borderId="11" applyAlignment="1" pivotButton="0" quotePrefix="0" xfId="0">
      <alignment horizontal="center" vertical="center"/>
    </xf>
    <xf numFmtId="167" fontId="15" fillId="17" borderId="11" applyAlignment="1" pivotButton="0" quotePrefix="0" xfId="0">
      <alignment horizontal="center" vertical="center"/>
    </xf>
    <xf numFmtId="167" fontId="16" fillId="17" borderId="11" applyAlignment="1" pivotButton="0" quotePrefix="0" xfId="0">
      <alignment horizontal="center" vertical="center"/>
    </xf>
    <xf numFmtId="167" fontId="17" fillId="17" borderId="11" applyAlignment="1" pivotButton="0" quotePrefix="0" xfId="0">
      <alignment horizontal="center" vertical="center"/>
    </xf>
    <xf numFmtId="164" fontId="8" fillId="14" borderId="11" pivotButton="0" quotePrefix="0" xfId="0"/>
    <xf numFmtId="0" fontId="14" fillId="17" borderId="11" applyAlignment="1" pivotButton="0" quotePrefix="0" xfId="0">
      <alignment horizontal="center" vertical="center"/>
    </xf>
    <xf numFmtId="0" fontId="0" fillId="14" borderId="11" pivotButton="0" quotePrefix="0" xfId="0"/>
    <xf numFmtId="1" fontId="8" fillId="14" borderId="11" pivotButton="0" quotePrefix="0" xfId="0"/>
    <xf numFmtId="0" fontId="8" fillId="17" borderId="11" pivotButton="0" quotePrefix="0" xfId="0"/>
    <xf numFmtId="0" fontId="0" fillId="21" borderId="11" pivotButton="0" quotePrefix="0" xfId="0"/>
    <xf numFmtId="0" fontId="8" fillId="21" borderId="11" pivotButton="0" quotePrefix="0" xfId="0"/>
    <xf numFmtId="164" fontId="8" fillId="21" borderId="11" pivotButton="0" quotePrefix="0" xfId="0"/>
    <xf numFmtId="164" fontId="8" fillId="18" borderId="11" pivotButton="0" quotePrefix="0" xfId="0"/>
    <xf numFmtId="166" fontId="8" fillId="19" borderId="11" pivotButton="0" quotePrefix="0" xfId="0"/>
    <xf numFmtId="167" fontId="18" fillId="17" borderId="11" applyAlignment="1" pivotButton="0" quotePrefix="0" xfId="0">
      <alignment horizontal="center" vertical="center"/>
    </xf>
    <xf numFmtId="166" fontId="19" fillId="17" borderId="11" applyAlignment="1" pivotButton="0" quotePrefix="0" xfId="0">
      <alignment horizontal="center" vertical="center"/>
    </xf>
    <xf numFmtId="164" fontId="20" fillId="15" borderId="11" applyAlignment="1" pivotButton="0" quotePrefix="0" xfId="0">
      <alignment horizontal="left" vertical="center"/>
    </xf>
    <xf numFmtId="164" fontId="21" fillId="22" borderId="12" applyAlignment="1" pivotButton="0" quotePrefix="0" xfId="0">
      <alignment horizontal="center" vertical="center"/>
    </xf>
    <xf numFmtId="164" fontId="22" fillId="15" borderId="12" applyAlignment="1" pivotButton="0" quotePrefix="0" xfId="0">
      <alignment horizontal="center" vertical="center"/>
    </xf>
    <xf numFmtId="0" fontId="22" fillId="15" borderId="12" applyAlignment="1" pivotButton="0" quotePrefix="0" xfId="0">
      <alignment horizontal="center" vertical="center"/>
    </xf>
    <xf numFmtId="0" fontId="21" fillId="16" borderId="12" applyAlignment="1" pivotButton="0" quotePrefix="0" xfId="0">
      <alignment horizontal="center" vertical="center"/>
    </xf>
    <xf numFmtId="0" fontId="23" fillId="23" borderId="12" applyAlignment="1" pivotButton="0" quotePrefix="0" xfId="0">
      <alignment horizontal="left" vertical="center"/>
    </xf>
    <xf numFmtId="167" fontId="24" fillId="14" borderId="12" applyAlignment="1" pivotButton="0" quotePrefix="0" xfId="0">
      <alignment horizontal="right" vertical="center"/>
    </xf>
    <xf numFmtId="167" fontId="24" fillId="24" borderId="12" applyAlignment="1" pivotButton="0" quotePrefix="0" xfId="0">
      <alignment horizontal="right" vertical="center"/>
    </xf>
    <xf numFmtId="167" fontId="21" fillId="25" borderId="12" applyAlignment="1" pivotButton="0" quotePrefix="0" xfId="0">
      <alignment horizontal="right" vertical="center"/>
    </xf>
    <xf numFmtId="0" fontId="25" fillId="26" borderId="12" applyAlignment="1" pivotButton="0" quotePrefix="0" xfId="0">
      <alignment horizontal="left" vertical="center"/>
    </xf>
    <xf numFmtId="0" fontId="26" fillId="27" borderId="12" applyAlignment="1" pivotButton="0" quotePrefix="0" xfId="0">
      <alignment horizontal="left" vertical="center"/>
    </xf>
    <xf numFmtId="164" fontId="12" fillId="17" borderId="11" applyAlignment="1" pivotButton="0" quotePrefix="0" xfId="0">
      <alignment horizontal="left" vertical="center"/>
    </xf>
    <xf numFmtId="164" fontId="27" fillId="23" borderId="11" applyAlignment="1" pivotButton="0" quotePrefix="0" xfId="0">
      <alignment horizontal="center" vertical="center"/>
    </xf>
    <xf numFmtId="0" fontId="28" fillId="26" borderId="11" applyAlignment="1" pivotButton="0" quotePrefix="0" xfId="0">
      <alignment horizontal="center" vertical="center"/>
    </xf>
    <xf numFmtId="0" fontId="29" fillId="28" borderId="11" applyAlignment="1" pivotButton="0" quotePrefix="0" xfId="0">
      <alignment horizontal="center" vertical="center"/>
    </xf>
    <xf numFmtId="0" fontId="30" fillId="27" borderId="11" applyAlignment="1" pivotButton="0" quotePrefix="0" xfId="0">
      <alignment horizontal="center" vertical="center"/>
    </xf>
    <xf numFmtId="0" fontId="36" fillId="15" borderId="0" applyAlignment="1" pivotButton="0" quotePrefix="0" xfId="0">
      <alignment horizontal="left" vertical="center"/>
    </xf>
    <xf numFmtId="0" fontId="37" fillId="15" borderId="0" applyAlignment="1" pivotButton="0" quotePrefix="0" xfId="0">
      <alignment horizontal="right" vertical="center"/>
    </xf>
    <xf numFmtId="0" fontId="14" fillId="17" borderId="0" applyAlignment="1" pivotButton="0" quotePrefix="0" xfId="0">
      <alignment horizontal="left" vertical="center" indent="1"/>
    </xf>
    <xf numFmtId="167" fontId="38" fillId="17" borderId="0" applyAlignment="1" pivotButton="0" quotePrefix="0" xfId="0">
      <alignment horizontal="center" vertical="center"/>
    </xf>
    <xf numFmtId="167" fontId="39" fillId="17" borderId="0" applyAlignment="1" pivotButton="0" quotePrefix="0" xfId="0">
      <alignment horizontal="center" vertical="center"/>
    </xf>
    <xf numFmtId="167" fontId="40" fillId="17" borderId="0" applyAlignment="1" pivotButton="0" quotePrefix="0" xfId="0">
      <alignment horizontal="center" vertical="center"/>
    </xf>
    <xf numFmtId="166" fontId="41" fillId="17" borderId="0" applyAlignment="1" pivotButton="0" quotePrefix="0" xfId="0">
      <alignment horizontal="center" vertical="center"/>
    </xf>
    <xf numFmtId="0" fontId="0" fillId="18" borderId="0" pivotButton="0" quotePrefix="0" xfId="0"/>
    <xf numFmtId="0" fontId="0" fillId="21" borderId="0" pivotButton="0" quotePrefix="0" xfId="0"/>
    <xf numFmtId="0" fontId="0" fillId="19" borderId="0" pivotButton="0" quotePrefix="0" xfId="0"/>
    <xf numFmtId="167" fontId="42" fillId="17" borderId="0" applyAlignment="1" pivotButton="0" quotePrefix="0" xfId="0">
      <alignment horizontal="center" vertical="center"/>
    </xf>
    <xf numFmtId="167" fontId="43" fillId="17" borderId="0" applyAlignment="1" pivotButton="0" quotePrefix="0" xfId="0">
      <alignment horizontal="center" vertical="center"/>
    </xf>
    <xf numFmtId="0" fontId="0" fillId="20" borderId="0" pivotButton="0" quotePrefix="0" xfId="0"/>
    <xf numFmtId="0" fontId="44" fillId="15" borderId="0" applyAlignment="1" pivotButton="0" quotePrefix="0" xfId="0">
      <alignment horizontal="left" vertical="center" indent="1"/>
    </xf>
    <xf numFmtId="0" fontId="45" fillId="15" borderId="0" applyAlignment="1" pivotButton="0" quotePrefix="0" xfId="0">
      <alignment horizontal="center"/>
    </xf>
    <xf numFmtId="0" fontId="46" fillId="25" borderId="0" applyAlignment="1" pivotButton="0" quotePrefix="0" xfId="0">
      <alignment horizontal="center"/>
    </xf>
    <xf numFmtId="0" fontId="47" fillId="23" borderId="13" applyAlignment="1" pivotButton="0" quotePrefix="0" xfId="0">
      <alignment horizontal="left" indent="1"/>
    </xf>
    <xf numFmtId="167" fontId="48" fillId="14" borderId="13" applyAlignment="1" pivotButton="0" quotePrefix="0" xfId="0">
      <alignment horizontal="right"/>
    </xf>
    <xf numFmtId="167" fontId="48" fillId="24" borderId="13" applyAlignment="1" pivotButton="0" quotePrefix="0" xfId="0">
      <alignment horizontal="right"/>
    </xf>
    <xf numFmtId="167" fontId="47" fillId="25" borderId="13" applyAlignment="1" pivotButton="0" quotePrefix="0" xfId="0">
      <alignment horizontal="right"/>
    </xf>
    <xf numFmtId="0" fontId="49" fillId="26" borderId="13" applyAlignment="1" pivotButton="0" quotePrefix="0" xfId="0">
      <alignment horizontal="left" indent="1"/>
    </xf>
    <xf numFmtId="167" fontId="49" fillId="25" borderId="13" applyAlignment="1" pivotButton="0" quotePrefix="0" xfId="0">
      <alignment horizontal="right"/>
    </xf>
    <xf numFmtId="0" fontId="50" fillId="27" borderId="13" applyAlignment="1" pivotButton="0" quotePrefix="0" xfId="0">
      <alignment horizontal="left" indent="1"/>
    </xf>
    <xf numFmtId="167" fontId="50" fillId="25" borderId="13" applyAlignment="1" pivotButton="0" quotePrefix="0" xfId="0">
      <alignment horizontal="right"/>
    </xf>
    <xf numFmtId="0" fontId="51" fillId="0" borderId="0" applyAlignment="1" pivotButton="0" quotePrefix="0" xfId="0">
      <alignment horizontal="center"/>
    </xf>
    <xf numFmtId="0" fontId="33" fillId="15" borderId="0" applyAlignment="1" pivotButton="0" quotePrefix="0" xfId="0">
      <alignment horizontal="left" vertical="center" indent="1"/>
    </xf>
    <xf numFmtId="0" fontId="34" fillId="21" borderId="0" applyAlignment="1" pivotButton="0" quotePrefix="0" xfId="0">
      <alignment horizontal="left" vertical="center"/>
    </xf>
    <xf numFmtId="0" fontId="25" fillId="26" borderId="12" applyAlignment="1" pivotButton="0" quotePrefix="0" xfId="0">
      <alignment horizontal="center" vertical="center" wrapText="1"/>
    </xf>
    <xf numFmtId="0" fontId="24" fillId="24" borderId="13" applyAlignment="1" pivotButton="0" quotePrefix="0" xfId="0">
      <alignment horizontal="center" vertical="center"/>
    </xf>
    <xf numFmtId="168" fontId="24" fillId="24" borderId="13" applyAlignment="1" pivotButton="0" quotePrefix="0" xfId="0">
      <alignment horizontal="center" vertical="center"/>
    </xf>
    <xf numFmtId="167" fontId="24" fillId="24" borderId="13" applyAlignment="1" pivotButton="0" quotePrefix="0" xfId="0">
      <alignment horizontal="right"/>
    </xf>
    <xf numFmtId="0" fontId="24" fillId="14" borderId="13" applyAlignment="1" pivotButton="0" quotePrefix="0" xfId="0">
      <alignment horizontal="center" vertical="center"/>
    </xf>
    <xf numFmtId="168" fontId="24" fillId="14" borderId="13" applyAlignment="1" pivotButton="0" quotePrefix="0" xfId="0">
      <alignment horizontal="center" vertical="center"/>
    </xf>
    <xf numFmtId="167" fontId="24" fillId="14" borderId="13" applyAlignment="1" pivotButton="0" quotePrefix="0" xfId="0">
      <alignment horizontal="right"/>
    </xf>
    <xf numFmtId="0" fontId="34" fillId="20" borderId="0" applyAlignment="1" pivotButton="0" quotePrefix="0" xfId="0">
      <alignment horizontal="left" vertical="center"/>
    </xf>
    <xf numFmtId="0" fontId="35" fillId="28" borderId="12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right" vertical="center"/>
    </xf>
    <xf numFmtId="0" fontId="31" fillId="15" borderId="0" applyAlignment="1" pivotButton="0" quotePrefix="0" xfId="0">
      <alignment horizontal="left" vertical="center" indent="1"/>
    </xf>
    <xf numFmtId="0" fontId="32" fillId="15" borderId="0" applyAlignment="1" pivotButton="0" quotePrefix="0" xfId="0">
      <alignment horizontal="right" vertical="center"/>
    </xf>
    <xf numFmtId="0" fontId="24" fillId="14" borderId="13" applyAlignment="1" pivotButton="0" quotePrefix="0" xfId="0">
      <alignment horizontal="left" vertical="center"/>
    </xf>
    <xf numFmtId="0" fontId="24" fillId="24" borderId="13" applyAlignment="1" pivotButton="0" quotePrefix="0" xfId="0">
      <alignment horizontal="left" vertical="center"/>
    </xf>
    <xf numFmtId="0" fontId="24" fillId="14" borderId="13" pivotButton="0" quotePrefix="0" xfId="0"/>
    <xf numFmtId="0" fontId="24" fillId="24" borderId="13" pivotButton="0" quotePrefix="0" xfId="0"/>
    <xf numFmtId="164" fontId="24" fillId="14" borderId="13" applyAlignment="1" pivotButton="0" quotePrefix="0" xfId="0">
      <alignment horizontal="center" vertical="center"/>
    </xf>
    <xf numFmtId="9" fontId="24" fillId="14" borderId="13" applyAlignment="1" pivotButton="0" quotePrefix="0" xfId="0">
      <alignment horizontal="center" vertical="center"/>
    </xf>
    <xf numFmtId="164" fontId="24" fillId="24" borderId="13" applyAlignment="1" pivotButton="0" quotePrefix="0" xfId="0">
      <alignment horizontal="center" vertical="center"/>
    </xf>
    <xf numFmtId="9" fontId="24" fillId="24" borderId="13" applyAlignment="1" pivotButton="0" quotePrefix="0" xfId="0">
      <alignment horizontal="center" vertical="center"/>
    </xf>
    <xf numFmtId="164" fontId="4" fillId="16" borderId="1" applyAlignment="1" pivotButton="0" quotePrefix="0" xfId="0">
      <alignment horizontal="right" vertical="center"/>
    </xf>
    <xf numFmtId="165" fontId="24" fillId="24" borderId="13" applyAlignment="1" pivotButton="0" quotePrefix="0" xfId="0">
      <alignment horizontal="left" vertical="center"/>
    </xf>
    <xf numFmtId="164" fontId="24" fillId="24" borderId="13" applyAlignment="1" pivotButton="0" quotePrefix="0" xfId="0">
      <alignment horizontal="right" vertical="center"/>
    </xf>
    <xf numFmtId="1" fontId="24" fillId="24" borderId="13" applyAlignment="1" pivotButton="0" quotePrefix="0" xfId="0">
      <alignment horizontal="right" vertical="center"/>
    </xf>
    <xf numFmtId="165" fontId="24" fillId="14" borderId="13" applyAlignment="1" pivotButton="0" quotePrefix="0" xfId="0">
      <alignment horizontal="left" vertical="center"/>
    </xf>
    <xf numFmtId="164" fontId="24" fillId="14" borderId="13" applyAlignment="1" pivotButton="0" quotePrefix="0" xfId="0">
      <alignment horizontal="right" vertical="center"/>
    </xf>
    <xf numFmtId="1" fontId="24" fillId="14" borderId="13" applyAlignment="1" pivotButton="0" quotePrefix="0" xfId="0">
      <alignment horizontal="right" vertical="center"/>
    </xf>
    <xf numFmtId="168" fontId="24" fillId="24" borderId="13" pivotButton="0" quotePrefix="0" xfId="0"/>
    <xf numFmtId="168" fontId="24" fillId="14" borderId="13" pivotButton="0" quotePrefix="0" xfId="0"/>
    <xf numFmtId="165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left" vertical="center"/>
    </xf>
    <xf numFmtId="1" fontId="4" fillId="16" borderId="1" applyAlignment="1" pivotButton="0" quotePrefix="0" xfId="0">
      <alignment horizontal="right" vertical="center"/>
    </xf>
    <xf numFmtId="168" fontId="5" fillId="8" borderId="1" applyAlignment="1" pivotButton="0" quotePrefix="0" xfId="0">
      <alignment horizontal="center" vertical="center"/>
    </xf>
    <xf numFmtId="167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left" vertical="center"/>
    </xf>
    <xf numFmtId="167" fontId="13" fillId="17" borderId="11" applyAlignment="1" pivotButton="0" quotePrefix="0" xfId="0">
      <alignment horizontal="center" vertical="center"/>
    </xf>
    <xf numFmtId="167" fontId="15" fillId="17" borderId="11" applyAlignment="1" pivotButton="0" quotePrefix="0" xfId="0">
      <alignment horizontal="center" vertical="center"/>
    </xf>
    <xf numFmtId="167" fontId="16" fillId="17" borderId="11" applyAlignment="1" pivotButton="0" quotePrefix="0" xfId="0">
      <alignment horizontal="center" vertical="center"/>
    </xf>
    <xf numFmtId="167" fontId="17" fillId="17" borderId="11" applyAlignment="1" pivotButton="0" quotePrefix="0" xfId="0">
      <alignment horizontal="center" vertical="center"/>
    </xf>
    <xf numFmtId="167" fontId="18" fillId="17" borderId="11" applyAlignment="1" pivotButton="0" quotePrefix="0" xfId="0">
      <alignment horizontal="center" vertical="center"/>
    </xf>
    <xf numFmtId="167" fontId="24" fillId="14" borderId="12" applyAlignment="1" pivotButton="0" quotePrefix="0" xfId="0">
      <alignment horizontal="right" vertical="center"/>
    </xf>
    <xf numFmtId="167" fontId="24" fillId="24" borderId="12" applyAlignment="1" pivotButton="0" quotePrefix="0" xfId="0">
      <alignment horizontal="right" vertical="center"/>
    </xf>
    <xf numFmtId="167" fontId="21" fillId="25" borderId="12" applyAlignment="1" pivotButton="0" quotePrefix="0" xfId="0">
      <alignment horizontal="right" vertical="center"/>
    </xf>
    <xf numFmtId="167" fontId="38" fillId="17" borderId="0" applyAlignment="1" pivotButton="0" quotePrefix="0" xfId="0">
      <alignment horizontal="center" vertical="center"/>
    </xf>
    <xf numFmtId="167" fontId="39" fillId="17" borderId="0" applyAlignment="1" pivotButton="0" quotePrefix="0" xfId="0">
      <alignment horizontal="center" vertical="center"/>
    </xf>
    <xf numFmtId="167" fontId="40" fillId="17" borderId="0" applyAlignment="1" pivotButton="0" quotePrefix="0" xfId="0">
      <alignment horizontal="center" vertical="center"/>
    </xf>
    <xf numFmtId="167" fontId="42" fillId="17" borderId="0" applyAlignment="1" pivotButton="0" quotePrefix="0" xfId="0">
      <alignment horizontal="center" vertical="center"/>
    </xf>
    <xf numFmtId="167" fontId="43" fillId="17" borderId="0" applyAlignment="1" pivotButton="0" quotePrefix="0" xfId="0">
      <alignment horizontal="center" vertical="center"/>
    </xf>
    <xf numFmtId="167" fontId="48" fillId="14" borderId="13" applyAlignment="1" pivotButton="0" quotePrefix="0" xfId="0">
      <alignment horizontal="right"/>
    </xf>
    <xf numFmtId="167" fontId="48" fillId="24" borderId="13" applyAlignment="1" pivotButton="0" quotePrefix="0" xfId="0">
      <alignment horizontal="right"/>
    </xf>
    <xf numFmtId="167" fontId="47" fillId="25" borderId="13" applyAlignment="1" pivotButton="0" quotePrefix="0" xfId="0">
      <alignment horizontal="right"/>
    </xf>
    <xf numFmtId="167" fontId="49" fillId="25" borderId="13" applyAlignment="1" pivotButton="0" quotePrefix="0" xfId="0">
      <alignment horizontal="right"/>
    </xf>
    <xf numFmtId="167" fontId="50" fillId="25" borderId="13" applyAlignment="1" pivotButton="0" quotePrefix="0" xfId="0">
      <alignment horizontal="right"/>
    </xf>
    <xf numFmtId="0" fontId="51" fillId="14" borderId="11" applyAlignment="1" pivotButton="0" quotePrefix="0" xfId="0">
      <alignment horizontal="center"/>
    </xf>
    <xf numFmtId="0" fontId="0" fillId="29" borderId="11" pivotButton="0" quotePrefix="0" xfId="0"/>
    <xf numFmtId="0" fontId="69" fillId="29" borderId="11" applyAlignment="1" pivotButton="0" quotePrefix="0" xfId="0">
      <alignment horizontal="left" vertical="center" indent="1"/>
    </xf>
    <xf numFmtId="0" fontId="70" fillId="30" borderId="11" applyAlignment="1" pivotButton="0" quotePrefix="0" xfId="0">
      <alignment horizontal="left" vertical="center" indent="1"/>
    </xf>
    <xf numFmtId="166" fontId="71" fillId="30" borderId="11" applyAlignment="1" pivotButton="0" quotePrefix="0" xfId="0">
      <alignment horizontal="center" vertical="center"/>
    </xf>
    <xf numFmtId="170" fontId="71" fillId="30" borderId="11" applyAlignment="1" pivotButton="0" quotePrefix="0" xfId="0">
      <alignment horizontal="center" vertical="center"/>
    </xf>
    <xf numFmtId="0" fontId="72" fillId="30" borderId="11" applyAlignment="1" pivotButton="0" quotePrefix="0" xfId="0">
      <alignment horizontal="center" vertical="center"/>
    </xf>
    <xf numFmtId="171" fontId="71" fillId="30" borderId="11" applyAlignment="1" pivotButton="0" quotePrefix="0" xfId="0">
      <alignment horizontal="center" vertical="center"/>
    </xf>
    <xf numFmtId="0" fontId="61" fillId="30" borderId="11" applyAlignment="1" pivotButton="0" quotePrefix="0" xfId="0">
      <alignment horizontal="left" vertical="center" wrapText="1" indent="1"/>
    </xf>
    <xf numFmtId="0" fontId="61" fillId="14" borderId="11" applyAlignment="1" pivotButton="0" quotePrefix="0" xfId="0">
      <alignment horizontal="left" vertical="center" wrapText="1" indent="1"/>
    </xf>
    <xf numFmtId="167" fontId="24" fillId="24" borderId="13" applyAlignment="1" pivotButton="0" quotePrefix="0" xfId="0">
      <alignment horizontal="right"/>
    </xf>
    <xf numFmtId="167" fontId="24" fillId="14" borderId="13" applyAlignment="1" pivotButton="0" quotePrefix="0" xfId="0">
      <alignment horizontal="right"/>
    </xf>
    <xf numFmtId="0" fontId="61" fillId="24" borderId="13" applyAlignment="1" pivotButton="0" quotePrefix="0" xfId="0">
      <alignment horizontal="center" vertical="center"/>
    </xf>
    <xf numFmtId="0" fontId="61" fillId="24" borderId="13" applyAlignment="1" pivotButton="0" quotePrefix="0" xfId="0">
      <alignment horizontal="left" vertical="center"/>
    </xf>
    <xf numFmtId="0" fontId="73" fillId="2" borderId="0" pivotButton="0" quotePrefix="0" xfId="0"/>
    <xf numFmtId="0" fontId="61" fillId="14" borderId="13" applyAlignment="1" pivotButton="0" quotePrefix="0" xfId="0">
      <alignment horizontal="center" vertical="center"/>
    </xf>
    <xf numFmtId="0" fontId="61" fillId="14" borderId="13" applyAlignment="1" pivotButton="0" quotePrefix="0" xfId="0">
      <alignment horizontal="left" vertical="center"/>
    </xf>
    <xf numFmtId="0" fontId="61" fillId="14" borderId="13" pivotButton="0" quotePrefix="0" xfId="0"/>
    <xf numFmtId="0" fontId="61" fillId="24" borderId="13" pivotButton="0" quotePrefix="0" xfId="0"/>
    <xf numFmtId="164" fontId="61" fillId="24" borderId="13" applyAlignment="1" pivotButton="0" quotePrefix="0" xfId="0">
      <alignment horizontal="center" vertical="center"/>
    </xf>
    <xf numFmtId="9" fontId="61" fillId="24" borderId="13" applyAlignment="1" pivotButton="0" quotePrefix="0" xfId="0">
      <alignment horizontal="center" vertical="center"/>
    </xf>
    <xf numFmtId="164" fontId="61" fillId="14" borderId="13" applyAlignment="1" pivotButton="0" quotePrefix="0" xfId="0">
      <alignment horizontal="center" vertical="center"/>
    </xf>
    <xf numFmtId="9" fontId="61" fillId="14" borderId="13" applyAlignment="1" pivotButton="0" quotePrefix="0" xfId="0">
      <alignment horizontal="center" vertical="center"/>
    </xf>
    <xf numFmtId="169" fontId="4" fillId="16" borderId="1" applyAlignment="1" pivotButton="0" quotePrefix="0" xfId="0">
      <alignment horizontal="right" vertical="center"/>
    </xf>
    <xf numFmtId="169" fontId="0" fillId="18" borderId="0" pivotButton="0" quotePrefix="0" xfId="0"/>
    <xf numFmtId="0" fontId="52" fillId="2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3" fillId="30" borderId="14" applyAlignment="1" pivotButton="0" quotePrefix="0" xfId="0">
      <alignment horizontal="left" vertical="center" indent="1"/>
    </xf>
    <xf numFmtId="169" fontId="54" fillId="14" borderId="14" applyAlignment="1" pivotButton="0" quotePrefix="0" xfId="0">
      <alignment horizontal="right" vertical="center"/>
    </xf>
    <xf numFmtId="3" fontId="54" fillId="14" borderId="14" applyAlignment="1" pivotButton="0" quotePrefix="0" xfId="0">
      <alignment horizontal="right" vertical="center"/>
    </xf>
    <xf numFmtId="168" fontId="61" fillId="24" borderId="13" applyAlignment="1" pivotButton="0" quotePrefix="0" xfId="0">
      <alignment horizontal="center" vertical="center"/>
    </xf>
    <xf numFmtId="165" fontId="61" fillId="24" borderId="13" applyAlignment="1" pivotButton="0" quotePrefix="0" xfId="0">
      <alignment horizontal="left" vertical="center"/>
    </xf>
    <xf numFmtId="164" fontId="61" fillId="24" borderId="13" applyAlignment="1" pivotButton="0" quotePrefix="0" xfId="0">
      <alignment horizontal="right" vertical="center"/>
    </xf>
    <xf numFmtId="167" fontId="61" fillId="24" borderId="13" applyAlignment="1" pivotButton="0" quotePrefix="0" xfId="0">
      <alignment horizontal="right"/>
    </xf>
    <xf numFmtId="1" fontId="61" fillId="24" borderId="13" applyAlignment="1" pivotButton="0" quotePrefix="0" xfId="0">
      <alignment horizontal="right" vertical="center"/>
    </xf>
    <xf numFmtId="0" fontId="73" fillId="0" borderId="0" pivotButton="0" quotePrefix="0" xfId="0"/>
    <xf numFmtId="168" fontId="61" fillId="14" borderId="13" applyAlignment="1" pivotButton="0" quotePrefix="0" xfId="0">
      <alignment horizontal="center" vertical="center"/>
    </xf>
    <xf numFmtId="165" fontId="61" fillId="14" borderId="13" applyAlignment="1" pivotButton="0" quotePrefix="0" xfId="0">
      <alignment horizontal="left" vertical="center"/>
    </xf>
    <xf numFmtId="164" fontId="61" fillId="14" borderId="13" applyAlignment="1" pivotButton="0" quotePrefix="0" xfId="0">
      <alignment horizontal="right" vertical="center"/>
    </xf>
    <xf numFmtId="167" fontId="61" fillId="14" borderId="13" applyAlignment="1" pivotButton="0" quotePrefix="0" xfId="0">
      <alignment horizontal="right"/>
    </xf>
    <xf numFmtId="1" fontId="61" fillId="14" borderId="13" applyAlignment="1" pivotButton="0" quotePrefix="0" xfId="0">
      <alignment horizontal="right" vertical="center"/>
    </xf>
    <xf numFmtId="0" fontId="74" fillId="14" borderId="11" applyAlignment="1" pivotButton="0" quotePrefix="0" xfId="0">
      <alignment horizontal="center" vertical="center"/>
    </xf>
    <xf numFmtId="0" fontId="73" fillId="14" borderId="11" pivotButton="0" quotePrefix="0" xfId="0"/>
    <xf numFmtId="1" fontId="75" fillId="14" borderId="11" applyAlignment="1" pivotButton="0" quotePrefix="0" xfId="0">
      <alignment horizontal="right" vertical="center"/>
    </xf>
    <xf numFmtId="164" fontId="75" fillId="14" borderId="11" applyAlignment="1" pivotButton="0" quotePrefix="0" xfId="0">
      <alignment horizontal="right" vertical="center"/>
    </xf>
    <xf numFmtId="0" fontId="74" fillId="9" borderId="1" applyAlignment="1" pivotButton="0" quotePrefix="0" xfId="0">
      <alignment horizontal="center" vertical="center"/>
    </xf>
    <xf numFmtId="164" fontId="75" fillId="2" borderId="1" applyAlignment="1" pivotButton="0" quotePrefix="0" xfId="0">
      <alignment horizontal="right" vertical="center"/>
    </xf>
    <xf numFmtId="168" fontId="61" fillId="24" borderId="13" pivotButton="0" quotePrefix="0" xfId="0"/>
    <xf numFmtId="168" fontId="61" fillId="14" borderId="13" pivotButton="0" quotePrefix="0" xfId="0"/>
    <xf numFmtId="0" fontId="0" fillId="31" borderId="0" pivotButton="0" quotePrefix="0" xfId="0"/>
    <xf numFmtId="0" fontId="76" fillId="8" borderId="1" applyAlignment="1" pivotButton="0" quotePrefix="0" xfId="0">
      <alignment horizontal="center" vertical="center"/>
    </xf>
    <xf numFmtId="165" fontId="75" fillId="2" borderId="1" applyAlignment="1" pivotButton="0" quotePrefix="0" xfId="0">
      <alignment horizontal="left" vertical="center"/>
    </xf>
    <xf numFmtId="1" fontId="75" fillId="2" borderId="1" applyAlignment="1" pivotButton="0" quotePrefix="0" xfId="0">
      <alignment horizontal="right" vertical="center"/>
    </xf>
    <xf numFmtId="0" fontId="76" fillId="8" borderId="1" applyAlignment="1" pivotButton="0" quotePrefix="0" xfId="0">
      <alignment horizontal="left" vertical="center"/>
    </xf>
    <xf numFmtId="0" fontId="74" fillId="12" borderId="1" applyAlignment="1" pivotButton="0" quotePrefix="0" xfId="0">
      <alignment horizontal="center" vertical="center"/>
    </xf>
    <xf numFmtId="164" fontId="76" fillId="8" borderId="1" applyAlignment="1" pivotButton="0" quotePrefix="0" xfId="0">
      <alignment horizontal="center" vertical="center"/>
    </xf>
    <xf numFmtId="0" fontId="77" fillId="6" borderId="1" applyAlignment="1" pivotButton="0" quotePrefix="0" xfId="0">
      <alignment horizontal="center" vertical="center"/>
    </xf>
    <xf numFmtId="168" fontId="76" fillId="8" borderId="1" applyAlignment="1" pivotButton="0" quotePrefix="0" xfId="0">
      <alignment horizontal="center" vertical="center"/>
    </xf>
    <xf numFmtId="167" fontId="75" fillId="8" borderId="1" applyAlignment="1" pivotButton="0" quotePrefix="0" xfId="0">
      <alignment horizontal="right" vertical="center"/>
    </xf>
    <xf numFmtId="164" fontId="75" fillId="8" borderId="1" applyAlignment="1" pivotButton="0" quotePrefix="0" xfId="0">
      <alignment horizontal="right" vertical="center"/>
    </xf>
    <xf numFmtId="0" fontId="77" fillId="13" borderId="1" applyAlignment="1" pivotButton="0" quotePrefix="0" xfId="0">
      <alignment horizontal="center" vertical="center"/>
    </xf>
    <xf numFmtId="0" fontId="74" fillId="8" borderId="1" applyAlignment="1" pivotButton="0" quotePrefix="0" xfId="0">
      <alignment horizontal="left" vertical="center" wrapText="1"/>
    </xf>
    <xf numFmtId="1" fontId="75" fillId="8" borderId="1" applyAlignment="1" pivotButton="0" quotePrefix="0" xfId="0">
      <alignment horizontal="right" vertical="center"/>
    </xf>
    <xf numFmtId="165" fontId="75" fillId="8" borderId="1" applyAlignment="1" pivotButton="0" quotePrefix="0" xfId="0">
      <alignment horizontal="right" vertical="center"/>
    </xf>
    <xf numFmtId="165" fontId="75" fillId="8" borderId="1" applyAlignment="1" pivotButton="0" quotePrefix="0" xfId="0">
      <alignment horizontal="left" vertical="center"/>
    </xf>
    <xf numFmtId="0" fontId="76" fillId="14" borderId="11" applyAlignment="1" pivotButton="0" quotePrefix="0" xfId="0">
      <alignment horizontal="center" vertical="center"/>
    </xf>
    <xf numFmtId="0" fontId="76" fillId="14" borderId="11" applyAlignment="1" pivotButton="0" quotePrefix="0" xfId="0">
      <alignment horizontal="left" vertical="center"/>
    </xf>
    <xf numFmtId="0" fontId="77" fillId="14" borderId="11" applyAlignment="1" pivotButton="0" quotePrefix="0" xfId="0">
      <alignment horizontal="center" vertical="center"/>
    </xf>
    <xf numFmtId="0" fontId="65" fillId="29" borderId="11" applyAlignment="1" pivotButton="0" quotePrefix="0" xfId="0">
      <alignment horizontal="center" vertical="center"/>
    </xf>
    <xf numFmtId="0" fontId="61" fillId="30" borderId="14" applyAlignment="1" pivotButton="0" quotePrefix="0" xfId="0">
      <alignment horizontal="left" vertical="center" indent="1"/>
    </xf>
    <xf numFmtId="169" fontId="66" fillId="30" borderId="14" applyAlignment="1" pivotButton="0" quotePrefix="0" xfId="0">
      <alignment horizontal="right" vertical="center"/>
    </xf>
    <xf numFmtId="0" fontId="54" fillId="33" borderId="14" applyAlignment="1" pivotButton="0" quotePrefix="0" xfId="0">
      <alignment horizontal="left" vertical="center" indent="1"/>
    </xf>
    <xf numFmtId="169" fontId="67" fillId="33" borderId="14" applyAlignment="1" pivotButton="0" quotePrefix="0" xfId="0">
      <alignment horizontal="right" vertical="center"/>
    </xf>
    <xf numFmtId="0" fontId="68" fillId="33" borderId="11" applyAlignment="1" pivotButton="0" quotePrefix="0" xfId="0">
      <alignment horizontal="center" vertical="center"/>
    </xf>
    <xf numFmtId="0" fontId="55" fillId="29" borderId="11" pivotButton="0" quotePrefix="0" xfId="0"/>
    <xf numFmtId="0" fontId="55" fillId="14" borderId="11" pivotButton="0" quotePrefix="0" xfId="0"/>
    <xf numFmtId="0" fontId="56" fillId="29" borderId="11" applyAlignment="1" pivotButton="0" quotePrefix="0" xfId="0">
      <alignment horizontal="left" vertical="center" indent="2"/>
    </xf>
    <xf numFmtId="0" fontId="55" fillId="32" borderId="11" pivotButton="0" quotePrefix="0" xfId="0"/>
    <xf numFmtId="0" fontId="57" fillId="14" borderId="11" applyAlignment="1" pivotButton="0" quotePrefix="0" xfId="0">
      <alignment horizontal="left" vertical="center"/>
    </xf>
    <xf numFmtId="0" fontId="52" fillId="29" borderId="15" applyAlignment="1" pivotButton="0" quotePrefix="0" xfId="0">
      <alignment horizontal="center" vertical="center" wrapText="1"/>
    </xf>
    <xf numFmtId="0" fontId="54" fillId="33" borderId="15" applyAlignment="1" pivotButton="0" quotePrefix="0" xfId="0">
      <alignment horizontal="center" vertical="center"/>
    </xf>
    <xf numFmtId="0" fontId="58" fillId="30" borderId="15" applyAlignment="1" pivotButton="0" quotePrefix="0" xfId="0">
      <alignment horizontal="left" vertical="center" indent="1"/>
    </xf>
    <xf numFmtId="3" fontId="59" fillId="33" borderId="15" applyAlignment="1" pivotButton="0" quotePrefix="0" xfId="0">
      <alignment horizontal="center" vertical="center"/>
    </xf>
    <xf numFmtId="169" fontId="55" fillId="30" borderId="15" applyAlignment="1" pivotButton="0" quotePrefix="0" xfId="0">
      <alignment horizontal="right" vertical="center"/>
    </xf>
    <xf numFmtId="164" fontId="55" fillId="34" borderId="11" pivotButton="0" quotePrefix="0" xfId="0"/>
    <xf numFmtId="169" fontId="60" fillId="35" borderId="15" applyAlignment="1" pivotButton="0" quotePrefix="0" xfId="0">
      <alignment horizontal="right" vertical="center"/>
    </xf>
    <xf numFmtId="169" fontId="61" fillId="30" borderId="15" applyAlignment="1" pivotButton="0" quotePrefix="0" xfId="0">
      <alignment horizontal="right" vertical="center"/>
    </xf>
    <xf numFmtId="169" fontId="62" fillId="26" borderId="15" applyAlignment="1" pivotButton="0" quotePrefix="0" xfId="0">
      <alignment horizontal="right" vertical="center"/>
    </xf>
    <xf numFmtId="0" fontId="58" fillId="14" borderId="15" applyAlignment="1" pivotButton="0" quotePrefix="0" xfId="0">
      <alignment horizontal="left" vertical="center" indent="1"/>
    </xf>
    <xf numFmtId="169" fontId="55" fillId="14" borderId="15" applyAlignment="1" pivotButton="0" quotePrefix="0" xfId="0">
      <alignment horizontal="right" vertical="center"/>
    </xf>
    <xf numFmtId="169" fontId="61" fillId="14" borderId="15" applyAlignment="1" pivotButton="0" quotePrefix="0" xfId="0">
      <alignment horizontal="right" vertical="center"/>
    </xf>
    <xf numFmtId="0" fontId="55" fillId="34" borderId="11" pivotButton="0" quotePrefix="0" xfId="0"/>
    <xf numFmtId="0" fontId="54" fillId="33" borderId="11" applyAlignment="1" pivotButton="0" quotePrefix="0" xfId="0">
      <alignment horizontal="left" vertical="center" indent="1"/>
    </xf>
    <xf numFmtId="0" fontId="55" fillId="33" borderId="11" pivotButton="0" quotePrefix="0" xfId="0"/>
    <xf numFmtId="169" fontId="60" fillId="35" borderId="11" applyAlignment="1" pivotButton="0" quotePrefix="0" xfId="0">
      <alignment horizontal="right" vertical="center"/>
    </xf>
    <xf numFmtId="169" fontId="63" fillId="33" borderId="11" applyAlignment="1" pivotButton="0" quotePrefix="0" xfId="0">
      <alignment horizontal="right" vertical="center"/>
    </xf>
    <xf numFmtId="169" fontId="64" fillId="26" borderId="11" applyAlignment="1" pivotButton="0" quotePrefix="0" xfId="0">
      <alignment horizontal="right" vertical="center"/>
    </xf>
    <xf numFmtId="0" fontId="57" fillId="14" borderId="11" applyAlignment="1" pivotButton="0" quotePrefix="0" xfId="0">
      <alignment horizontal="left" vertical="center" indent="1"/>
    </xf>
    <xf numFmtId="169" fontId="64" fillId="14" borderId="11" applyAlignment="1" pivotButton="0" quotePrefix="0" xfId="0">
      <alignment horizontal="right" vertical="center"/>
    </xf>
    <xf numFmtId="166" fontId="64" fillId="14" borderId="11" applyAlignment="1" pivotButton="0" quotePrefix="0" xfId="0">
      <alignment horizontal="right" vertical="center"/>
    </xf>
  </cellXfs>
  <cellStyles count="1">
    <cellStyle name="Normal" xfId="0" builtinId="0"/>
  </cellStyles>
  <dxfs count="5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ont>
        <name val="Calibri"/>
        <b val="1"/>
        <color rgb="001A7A45"/>
      </font>
      <fill>
        <patternFill patternType="solid">
          <fgColor rgb="00D4EDDA"/>
        </patternFill>
      </fill>
    </dxf>
    <dxf>
      <font>
        <name val="Calibri"/>
        <b val="1"/>
        <color rgb="00E67E22"/>
      </font>
      <fill>
        <patternFill patternType="solid">
          <fgColor rgb="00FEF3E2"/>
        </patternFill>
      </fill>
    </dxf>
    <dxf>
      <font>
        <name val="Calibri"/>
        <b val="1"/>
        <color rgb="00C0392B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s-CL"/>
              <a:t>Ventas vs Compras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Dashboard!$B$21:$M$21</f>
              <strCache>
                <ptCount val="12"/>
                <pt idx="0">
                  <v>Ene</v>
                </pt>
                <pt idx="1">
                  <v>Feb</v>
                </pt>
                <pt idx="2">
                  <v>Mar</v>
                </pt>
                <pt idx="3">
                  <v>Abr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Dic</v>
                </pt>
              </strCache>
            </strRef>
          </cat>
          <val>
            <numRef>
              <f>Dashboard!$B$22:$M$22</f>
              <numCache>
                <formatCode>\$#,##0.00;[Red]\(\$#,##0.00\);\-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13500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Dashboard!$B$21:$M$21</f>
              <strCache>
                <ptCount val="12"/>
                <pt idx="0">
                  <v>Ene</v>
                </pt>
                <pt idx="1">
                  <v>Feb</v>
                </pt>
                <pt idx="2">
                  <v>Mar</v>
                </pt>
                <pt idx="3">
                  <v>Abr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Dic</v>
                </pt>
              </strCache>
            </strRef>
          </cat>
          <val>
            <numRef>
              <f>Dashboard!$B$23:$M$23</f>
              <numCache>
                <formatCode>\$#,##0.00;[Red]\(\$#,##0.00\);\-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37600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\$#,##0.00;[Red]\(\$#,##0.0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s-CL"/>
              <a:t>Caja y conciliación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cat>
            <strRef>
              <f>Dashboard!$A$28:$A$31</f>
              <strCache>
                <ptCount val="4"/>
                <pt idx="0">
                  <v>Caja</v>
                </pt>
                <pt idx="1">
                  <v>Banco libro</v>
                </pt>
                <pt idx="2">
                  <v>Banco cartola</v>
                </pt>
                <pt idx="3">
                  <v>Diferencia</v>
                </pt>
              </strCache>
            </strRef>
          </cat>
          <val>
            <numRef>
              <f>Dashboard!$B$28:$B$31</f>
              <numCache>
                <formatCode>\$#,##0.00;[Red]\(\$#,##0.00\);\-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\$#,##0.00;[Red]\(\$#,##0.00\);\-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vs Compras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'Dashboard'!B100</f>
            </strRef>
          </tx>
          <spPr>
            <a:solidFill>
              <a:srgbClr val="1A7A45"/>
            </a:solidFill>
            <a:ln>
              <a:prstDash val="solid"/>
            </a:ln>
          </spPr>
          <cat>
            <numRef>
              <f>'Dashboard'!$A$101:$A$112</f>
            </numRef>
          </cat>
          <val>
            <numRef>
              <f>'Dashboard'!$B$101:$B$112</f>
            </numRef>
          </val>
        </ser>
        <ser>
          <idx val="1"/>
          <order val="1"/>
          <tx>
            <strRef>
              <f>'Dashboard'!C100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'Dashboard'!$A$101:$A$112</f>
            </numRef>
          </cat>
          <val>
            <numRef>
              <f>'Dashboard'!$C$101:$C$112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($)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Neto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'Dashboard'!D100</f>
            </strRef>
          </tx>
          <spPr>
            <a:ln w="25000">
              <a:solidFill>
                <a:srgbClr val="C9A84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'Dashboard'!$A$101:$A$112</f>
            </numRef>
          </cat>
          <val>
            <numRef>
              <f>'Dashboard'!$D$101:$D$112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Resultado ($)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Estado de stock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Inventario!$P$8:$P$9</f>
              <strCache>
                <ptCount val="2"/>
                <pt idx="0">
                  <v>Reponer</v>
                </pt>
                <pt idx="1">
                  <v>Suficiente</v>
                </pt>
              </strCache>
            </strRef>
          </cat>
          <val>
            <numRef>
              <f>Inventario!$Q$8:$Q$9</f>
              <numCache>
                <formatCode>General</formatCode>
                <ptCount val="2"/>
                <pt idx="0">
                  <v>4</v>
                </pt>
                <pt idx="1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Proporción en caja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Caja!$K$10</f>
              <strCache>
                <ptCount val="1"/>
                <pt idx="0">
                  <v>SALDO</v>
                </pt>
              </strCache>
            </strRef>
          </tx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Caja!$J$11:$J$15</f>
              <strCache>
                <ptCount val="5"/>
                <pt idx="0">
                  <v>Saldo en Efectivo</v>
                </pt>
                <pt idx="1">
                  <v>Saldo en Banco</v>
                </pt>
                <pt idx="2">
                  <v>Saldo en Mercado Pago</v>
                </pt>
                <pt idx="3">
                  <v>Saldo en PayPal</v>
                </pt>
                <pt idx="4">
                  <v>Saldo en Otros</v>
                </pt>
              </strCache>
            </strRef>
          </cat>
          <val>
            <numRef>
              <f>Caja!$K$11:$K$15</f>
              <numCache>
                <formatCode>\$#,##0.00;[Red]\(\$#,##0.00\);\-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17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33</row>
      <rowOff>0</rowOff>
    </from>
    <ext cx="288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32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32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288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22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lientes" displayName="tbl_clientes" ref="A4:J44" headerRowCount="1">
  <autoFilter ref="A4:J44"/>
  <tableColumns count="10">
    <tableColumn id="1" name="ID CLIENTE"/>
    <tableColumn id="2" name="NOMBRE"/>
    <tableColumn id="3" name="TIPO CLIENTE"/>
    <tableColumn id="4" name="ID FISCAL"/>
    <tableColumn id="5" name="DIRECCIÓN"/>
    <tableColumn id="6" name="CIUDAD"/>
    <tableColumn id="7" name="PROVINCIA"/>
    <tableColumn id="8" name="CÓDIGO POSTAL"/>
    <tableColumn id="9" name="CORREO"/>
    <tableColumn id="10" name="TELÉFO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roveedores" displayName="tbl_proveedores" ref="A4:J44" headerRowCount="1">
  <autoFilter ref="A4:J44"/>
  <tableColumns count="10">
    <tableColumn id="1" name="ID PROV."/>
    <tableColumn id="2" name="NOMBRE"/>
    <tableColumn id="3" name="ID FISCAL"/>
    <tableColumn id="4" name="DIRECCIÓN"/>
    <tableColumn id="5" name="CIUDAD"/>
    <tableColumn id="6" name="PROVINCIA"/>
    <tableColumn id="7" name="CORREO"/>
    <tableColumn id="8" name="TELÉFONO"/>
    <tableColumn id="9" name="PLAZO PAGO"/>
    <tableColumn id="10" name="MEDIO PAGO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tbl_productos" displayName="tbl_productos" ref="A4:I59" headerRowCount="1">
  <autoFilter ref="A4:I59"/>
  <tableColumns count="9">
    <tableColumn id="1" name="CÓDIGO"/>
    <tableColumn id="2" name="CATEGORÍA"/>
    <tableColumn id="3" name="PRODUCTO"/>
    <tableColumn id="4" name="UNIDAD"/>
    <tableColumn id="5" name="PRECIO VENTA"/>
    <tableColumn id="6" name="PRECIO COMPRA"/>
    <tableColumn id="7" name="STOCK MÍNIMO"/>
    <tableColumn id="8" name="IVA %"/>
    <tableColumn id="9" name="ACTIV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bl_ventas" displayName="tbl_ventas" ref="A7:M89" headerRowCount="1">
  <autoFilter ref="A7:M89"/>
  <tableColumns count="13">
    <tableColumn id="1" name="N° DOC"/>
    <tableColumn id="2" name="FECHA"/>
    <tableColumn id="3" name="CLIENTE"/>
    <tableColumn id="4" name="CÓDIGO"/>
    <tableColumn id="5" name="PRODUCTO"/>
    <tableColumn id="6" name="CANTIDAD"/>
    <tableColumn id="7" name="P. UNIT"/>
    <tableColumn id="8" name="TOTAL"/>
    <tableColumn id="9" name="ESTADO COBRO"/>
    <tableColumn id="10" name="MES"/>
    <tableColumn id="11" name="AÑO"/>
    <tableColumn id="12" name="OBS."/>
    <tableColumn id="13" name="UTIL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ompras" displayName="tbl_compras" ref="A7:L89" headerRowCount="1">
  <autoFilter ref="A7:L89"/>
  <tableColumns count="12">
    <tableColumn id="1" name="N° OC"/>
    <tableColumn id="2" name="FECHA"/>
    <tableColumn id="3" name="PROVEEDOR"/>
    <tableColumn id="4" name="CÓDIGO"/>
    <tableColumn id="5" name="PRODUCTO"/>
    <tableColumn id="6" name="CANTIDAD"/>
    <tableColumn id="7" name="COSTO UNIT"/>
    <tableColumn id="8" name="TOTAL"/>
    <tableColumn id="9" name="MES"/>
    <tableColumn id="10" name="AÑO"/>
    <tableColumn id="11" name="ESTADO PAGO"/>
    <tableColumn id="12" name="OBS.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bl_inventario" displayName="tbl_inventario" ref="A7:N58" headerRowCount="1">
  <autoFilter ref="A7:N58"/>
  <tableColumns count="14">
    <tableColumn id="1" name="CÓDIGO"/>
    <tableColumn id="2" name="PRODUCTO"/>
    <tableColumn id="3" name="UNIDAD"/>
    <tableColumn id="4" name="STOCK INICIAL"/>
    <tableColumn id="5" name="ENTRADAS"/>
    <tableColumn id="6" name="SALIDAS"/>
    <tableColumn id="7" name="STOCK ACTUAL"/>
    <tableColumn id="8" name="STOCK MÍNIMO"/>
    <tableColumn id="9" name="ALERTA"/>
    <tableColumn id="10" name="PRECIO COMPRA"/>
    <tableColumn id="11" name="PRECIO VENTA"/>
    <tableColumn id="12" name="VALOR COSTO"/>
    <tableColumn id="13" name="VALOR VENTA"/>
    <tableColumn id="14" name="BAJO MÍNIMO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bl_caja" displayName="tbl_caja" ref="A17:G89" headerRowCount="1">
  <autoFilter ref="A17:G89"/>
  <tableColumns count="7">
    <tableColumn id="1" name="FECHA"/>
    <tableColumn id="2" name="CONCEPTO"/>
    <tableColumn id="3" name="CÓDIGO"/>
    <tableColumn id="4" name="ENTRADAS"/>
    <tableColumn id="5" name="SALIDAS"/>
    <tableColumn id="6" name="SALDO"/>
    <tableColumn id="7" name="OBS.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id="8" name="tbl_ctas_cobrar" displayName="tbl_ctas_cobrar" ref="A4:L89" headerRowCount="1">
  <autoFilter ref="A4:L89"/>
  <tableColumns count="12">
    <tableColumn id="1" name="N° DOC"/>
    <tableColumn id="2" name="FECHA"/>
    <tableColumn id="3" name="CLIENTE"/>
    <tableColumn id="4" name="IMPORTE VENTA"/>
    <tableColumn id="5" name="IMPORTE COBRADO"/>
    <tableColumn id="6" name="SALDO PENDIENTE"/>
    <tableColumn id="7" name="FECHA VENC."/>
    <tableColumn id="8" name="ESTADO"/>
    <tableColumn id="9" name="DÍAS ATRASO"/>
    <tableColumn id="10" name="MES"/>
    <tableColumn id="11" name="OBS."/>
    <tableColumn id="12" name="ALER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ctas_pagar" displayName="tbl_ctas_pagar" ref="A4:K89" headerRowCount="1">
  <autoFilter ref="A4:K89"/>
  <tableColumns count="11">
    <tableColumn id="1" name="N° OC"/>
    <tableColumn id="2" name="FECHA"/>
    <tableColumn id="3" name="PROVEEDOR"/>
    <tableColumn id="4" name="IMPORTE COMPRA"/>
    <tableColumn id="5" name="IMPORTE PAGADO"/>
    <tableColumn id="6" name="SALDO PENDIENTE"/>
    <tableColumn id="7" name="FECHA VENC."/>
    <tableColumn id="8" name="ESTADO"/>
    <tableColumn id="9" name="DÍAS ATRASO"/>
    <tableColumn id="10" name="OBS."/>
    <tableColumn id="11" name="ALERTA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id="10" name="tbl_contabilidad" displayName="tbl_contabilidad" ref="A4:L99" headerRowCount="1">
  <autoFilter ref="A4:L99"/>
  <tableColumns count="12">
    <tableColumn id="1" name="FECHA"/>
    <tableColumn id="2" name="TIPO"/>
    <tableColumn id="3" name="ORIGEN"/>
    <tableColumn id="4" name="CATEGORÍA"/>
    <tableColumn id="5" name="DETALLE"/>
    <tableColumn id="6" name="DEBE"/>
    <tableColumn id="7" name="HABER"/>
    <tableColumn id="8" name="MES"/>
    <tableColumn id="9" name="AÑO"/>
    <tableColumn id="10" name="REFERENCIA"/>
    <tableColumn id="11" name="SALDO"/>
    <tableColumn id="12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libro_banco" displayName="tbl_libro_banco" ref="A7:F44" headerRowCount="1">
  <autoFilter ref="A7:F44"/>
  <tableColumns count="6">
    <tableColumn id="1" name="FECHA"/>
    <tableColumn id="2" name="CONCEPTO"/>
    <tableColumn id="3" name="REFERENCIA"/>
    <tableColumn id="4" name="INGRESO"/>
    <tableColumn id="5" name="EGRESO"/>
    <tableColumn id="6" name="SALDO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id="12" name="tbl_cartola" displayName="tbl_cartola" ref="I7:N44" headerRowCount="1">
  <autoFilter ref="I7:N44"/>
  <tableColumns count="6">
    <tableColumn id="9" name="FECHA"/>
    <tableColumn id="10" name="CONCEPTO"/>
    <tableColumn id="11" name="REFERENCIA"/>
    <tableColumn id="12" name="INGRESO"/>
    <tableColumn id="13" name="EGRESO"/>
    <tableColumn id="14" name="SALDO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tbl_comparador" displayName="tbl_comparador" ref="A6:J20" headerRowCount="1">
  <autoFilter ref="A6:J20"/>
  <tableColumns count="10">
    <tableColumn id="1" name="PRODUCTO"/>
    <tableColumn id="2" name="CANTIDAD"/>
    <tableColumn id="3" name="PROV 1"/>
    <tableColumn id="4" name="PROV 2"/>
    <tableColumn id="5" name="PROV 3"/>
    <tableColumn id="6" name="PROV 4"/>
    <tableColumn id="7" name="PROV 5"/>
    <tableColumn id="8" name="MENOR"/>
    <tableColumn id="9" name="PROMEDIO"/>
    <tableColumn id="10" name="MAYO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7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FF203A5F"/>
    <outlinePr summaryBelow="1" summaryRight="1"/>
    <pageSetUpPr/>
  </sheetPr>
  <dimension ref="A1:Y112"/>
  <sheetViews>
    <sheetView showGridLines="0" tabSelected="1" workbookViewId="0">
      <pane ySplit="3" topLeftCell="A4" activePane="bottomLeft" state="frozen"/>
      <selection pane="bottomLeft" activeCell="A1" sqref="A1:N2"/>
    </sheetView>
  </sheetViews>
  <sheetFormatPr baseColWidth="10" defaultColWidth="9.140625" defaultRowHeight="15"/>
  <cols>
    <col width="1.5" customWidth="1" style="22" min="1" max="1"/>
    <col width="14" customWidth="1" style="22" min="2" max="6"/>
    <col width="14" customWidth="1" style="22" min="3" max="3"/>
    <col width="14" customWidth="1" style="22" min="4" max="4"/>
    <col width="14" customWidth="1" style="22" min="5" max="5"/>
    <col width="1.5" customWidth="1" style="22" min="6" max="6"/>
    <col width="14" customWidth="1" style="22" min="7" max="7"/>
    <col width="14" customWidth="1" style="22" min="8" max="16"/>
    <col width="14" customWidth="1" style="22" min="9" max="9"/>
    <col width="14" customWidth="1" style="22" min="10" max="10"/>
    <col width="1.5" customWidth="1" style="22" min="11" max="11"/>
    <col width="14" customWidth="1" style="22" min="12" max="12"/>
    <col width="14" customWidth="1" style="22" min="13" max="13"/>
    <col width="14" customWidth="1" style="22" min="14" max="14"/>
    <col width="14" customWidth="1" style="22" min="15" max="15"/>
    <col width="1.5" customWidth="1" style="22" min="16" max="16"/>
    <col width="10" customWidth="1" style="22" min="17" max="17"/>
    <col width="12" customWidth="1" style="22" min="18" max="18"/>
    <col width="12" customWidth="1" style="22" min="19" max="19"/>
    <col width="12" customWidth="1" style="22" min="20" max="20"/>
  </cols>
  <sheetData>
    <row r="1" ht="6" customHeight="1" s="22">
      <c r="A1" s="49" t="n"/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49" t="n"/>
      <c r="P1" s="50" t="n"/>
      <c r="Q1" s="50" t="n"/>
      <c r="R1" s="50" t="n"/>
      <c r="S1" s="49" t="n"/>
      <c r="T1" s="49" t="n"/>
      <c r="U1" s="49" t="n"/>
      <c r="V1" s="49" t="n"/>
      <c r="W1" s="1" t="n"/>
      <c r="X1" s="1" t="n"/>
      <c r="Y1" s="1" t="n"/>
    </row>
    <row r="2" ht="38" customHeight="1" s="22">
      <c r="A2" s="50" t="n"/>
      <c r="B2" s="51" t="inlineStr">
        <is>
          <t>📊  DASHBOARD EMPRESARIAL</t>
        </is>
      </c>
      <c r="K2" s="52" t="inlineStr">
        <is>
          <t>PLANTILLA INTEGRAL DE GESTIÓN PyME</t>
        </is>
      </c>
      <c r="U2" s="49" t="n"/>
      <c r="V2" s="49" t="n"/>
      <c r="W2" s="1" t="n"/>
      <c r="X2" s="1" t="n"/>
      <c r="Y2" s="1" t="n"/>
    </row>
    <row r="3" ht="20" customHeight="1" s="22">
      <c r="A3" s="49" t="n"/>
      <c r="B3" s="53" t="inlineStr">
        <is>
          <t>Indicadores actualizados automáticamente · Ingresa tus datos en cada módulo</t>
        </is>
      </c>
      <c r="U3" s="49" t="n"/>
      <c r="V3" s="49" t="n"/>
      <c r="W3" s="1" t="n"/>
      <c r="X3" s="1" t="n"/>
      <c r="Y3" s="1" t="n"/>
    </row>
    <row r="4" ht="4" customHeight="1" s="22">
      <c r="A4" s="54" t="n"/>
      <c r="B4" s="55" t="n"/>
      <c r="C4" s="55" t="n"/>
      <c r="D4" s="54" t="n"/>
      <c r="E4" s="54" t="n"/>
      <c r="F4" s="55" t="n"/>
      <c r="G4" s="55" t="n"/>
      <c r="H4" s="54" t="n"/>
      <c r="I4" s="54" t="n"/>
      <c r="J4" s="55" t="n"/>
      <c r="K4" s="55" t="n"/>
      <c r="L4" s="54" t="n"/>
      <c r="M4" s="54" t="n"/>
      <c r="N4" s="55" t="n"/>
      <c r="O4" s="55" t="n"/>
      <c r="P4" s="54" t="n"/>
      <c r="Q4" s="54" t="n"/>
      <c r="R4" s="54" t="n"/>
      <c r="S4" s="54" t="n"/>
      <c r="T4" s="54" t="n"/>
      <c r="U4" s="54" t="n"/>
      <c r="V4" s="54" t="n"/>
      <c r="W4" s="1" t="n"/>
      <c r="X4" s="1" t="n"/>
      <c r="Y4" s="1" t="n"/>
    </row>
    <row r="5" ht="6" customHeight="1" s="22">
      <c r="B5" s="56" t="n"/>
      <c r="C5" s="56" t="n"/>
      <c r="D5" s="57" t="n"/>
      <c r="E5" s="56" t="n"/>
      <c r="G5" s="58" t="n"/>
      <c r="H5" s="59" t="n"/>
      <c r="I5" s="58" t="n"/>
      <c r="J5" s="58" t="n"/>
      <c r="L5" s="60" t="n"/>
      <c r="M5" s="61" t="n"/>
      <c r="N5" s="61" t="n"/>
      <c r="O5" s="61" t="n"/>
      <c r="P5" s="62" t="n"/>
      <c r="Q5" s="49" t="n"/>
      <c r="R5" s="49" t="n"/>
      <c r="S5" s="49" t="n"/>
      <c r="T5" s="49" t="n"/>
      <c r="U5" s="62" t="n"/>
      <c r="V5" s="62" t="n"/>
      <c r="W5" s="1" t="n"/>
      <c r="X5" s="1" t="n"/>
      <c r="Y5" s="1" t="n"/>
    </row>
    <row r="6" ht="18" customHeight="1" s="22">
      <c r="A6" s="62" t="n"/>
      <c r="B6" s="63" t="inlineStr">
        <is>
          <t>💰  VENTAS DEL MES</t>
        </is>
      </c>
      <c r="F6" s="62" t="n"/>
      <c r="G6" s="63" t="inlineStr">
        <is>
          <t>🛒  COMPRAS DEL MES</t>
        </is>
      </c>
      <c r="K6" s="62" t="n"/>
      <c r="L6" s="63" t="inlineStr">
        <is>
          <t>📥  CTAS. POR COBRAR</t>
        </is>
      </c>
      <c r="P6" s="62" t="n"/>
      <c r="Q6" s="63" t="inlineStr">
        <is>
          <t>🏦  SALDO CAJA</t>
        </is>
      </c>
      <c r="U6" s="62" t="n"/>
      <c r="V6" s="62" t="n"/>
      <c r="W6" s="1" t="n"/>
      <c r="X6" s="1" t="n"/>
      <c r="Y6" s="1" t="n"/>
    </row>
    <row r="7" ht="28" customHeight="1" s="22">
      <c r="A7" s="62" t="n"/>
      <c r="B7" s="160">
        <f>Ventas!M3</f>
        <v/>
      </c>
      <c r="G7" s="161">
        <f>Compras!L3</f>
        <v/>
      </c>
      <c r="L7" s="162">
        <f>Ctas_Cobrar!L3</f>
        <v/>
      </c>
      <c r="P7" s="62" t="n"/>
      <c r="Q7" s="163">
        <f>Caja!Q6</f>
        <v/>
      </c>
      <c r="U7" s="62" t="n"/>
      <c r="V7" s="62" t="n"/>
      <c r="W7" s="1" t="n"/>
      <c r="X7" s="1" t="n"/>
      <c r="Y7" s="1" t="n"/>
    </row>
    <row r="8" ht="28" customHeight="1" s="22">
      <c r="A8" s="68" t="n"/>
      <c r="P8" s="62" t="n"/>
      <c r="U8" s="62" t="n"/>
      <c r="V8" s="62" t="n"/>
      <c r="W8" s="1" t="n"/>
      <c r="X8" s="1" t="n"/>
      <c r="Y8" s="1" t="n"/>
    </row>
    <row r="9" ht="16" customHeight="1" s="22">
      <c r="A9" s="62" t="n"/>
      <c r="B9" s="69" t="inlineStr">
        <is>
          <t>Total facturas emitidas</t>
        </is>
      </c>
      <c r="F9" s="62" t="n"/>
      <c r="G9" s="69" t="inlineStr">
        <is>
          <t>Total órdenes de compra</t>
        </is>
      </c>
      <c r="K9" s="62" t="n"/>
      <c r="L9" s="69" t="inlineStr">
        <is>
          <t>Pendiente de cobro</t>
        </is>
      </c>
      <c r="P9" s="62" t="n"/>
      <c r="Q9" s="69" t="inlineStr">
        <is>
          <t>Saldo disponible hoy</t>
        </is>
      </c>
      <c r="U9" s="62" t="n"/>
      <c r="V9" s="62" t="n"/>
      <c r="W9" s="1" t="n"/>
      <c r="X9" s="1" t="n"/>
      <c r="Y9" s="1" t="n"/>
    </row>
    <row r="10" ht="3" customHeight="1" s="22">
      <c r="A10" s="62" t="n"/>
      <c r="B10" s="56" t="n"/>
      <c r="C10" s="56" t="n"/>
      <c r="D10" s="57" t="n"/>
      <c r="E10" s="57" t="n"/>
      <c r="G10" s="58" t="n"/>
      <c r="H10" s="59" t="n"/>
      <c r="I10" s="59" t="n"/>
      <c r="J10" s="58" t="n"/>
      <c r="L10" s="60" t="n"/>
      <c r="M10" s="60" t="n"/>
      <c r="N10" s="61" t="n"/>
      <c r="O10" s="61" t="n"/>
      <c r="P10" s="62" t="n"/>
      <c r="Q10" s="49" t="n"/>
      <c r="R10" s="49" t="n"/>
      <c r="S10" s="49" t="n"/>
      <c r="T10" s="49" t="n"/>
      <c r="U10" s="62" t="n"/>
      <c r="V10" s="62" t="n"/>
      <c r="W10" s="1" t="n"/>
      <c r="X10" s="1" t="n"/>
      <c r="Y10" s="1" t="n"/>
    </row>
    <row r="11" ht="3" customHeight="1" s="22">
      <c r="A11" s="68" t="n"/>
      <c r="B11" s="70" t="n"/>
      <c r="C11" s="70" t="n"/>
      <c r="D11" s="62" t="n"/>
      <c r="E11" s="68" t="n"/>
      <c r="G11" s="70" t="n"/>
      <c r="H11" s="62" t="n"/>
      <c r="I11" s="71" t="n"/>
      <c r="J11" s="70" t="n"/>
      <c r="L11" s="62" t="n"/>
      <c r="M11" s="68" t="n"/>
      <c r="N11" s="70" t="n"/>
      <c r="O11" s="70" t="n"/>
      <c r="P11" s="62" t="n"/>
      <c r="Q11" s="62" t="n"/>
      <c r="R11" s="62" t="n"/>
      <c r="S11" s="62" t="n"/>
      <c r="T11" s="62" t="n"/>
      <c r="U11" s="62" t="n"/>
      <c r="V11" s="62" t="n"/>
      <c r="W11" s="1" t="n"/>
      <c r="X11" s="1" t="n"/>
      <c r="Y11" s="1" t="n"/>
    </row>
    <row r="12" ht="16" customHeight="1" s="22">
      <c r="A12" s="62" t="n"/>
      <c r="B12" s="72" t="n"/>
      <c r="C12" s="72" t="n"/>
      <c r="D12" s="72" t="n"/>
      <c r="E12" s="72" t="n"/>
      <c r="F12" s="62" t="n"/>
      <c r="G12" s="72" t="n"/>
      <c r="H12" s="72" t="n"/>
      <c r="I12" s="72" t="n"/>
      <c r="J12" s="72" t="n"/>
      <c r="K12" s="62" t="n"/>
      <c r="L12" s="72" t="n"/>
      <c r="M12" s="72" t="n"/>
      <c r="N12" s="72" t="n"/>
      <c r="O12" s="72" t="n"/>
      <c r="P12" s="62" t="n"/>
      <c r="Q12" s="72" t="n"/>
      <c r="R12" s="72" t="n"/>
      <c r="S12" s="72" t="n"/>
      <c r="T12" s="72" t="n"/>
      <c r="U12" s="62" t="n"/>
      <c r="V12" s="62" t="n"/>
      <c r="W12" s="1" t="n"/>
      <c r="X12" s="1" t="n"/>
      <c r="Y12" s="1" t="n"/>
    </row>
    <row r="13" ht="16" customHeight="1" s="22">
      <c r="A13" s="62" t="n"/>
      <c r="D13" s="62" t="n"/>
      <c r="E13" s="62" t="n"/>
      <c r="H13" s="62" t="n"/>
      <c r="I13" s="62" t="n"/>
      <c r="L13" s="62" t="n"/>
      <c r="M13" s="62" t="n"/>
      <c r="P13" s="62" t="n"/>
      <c r="Q13" s="62" t="n"/>
      <c r="R13" s="62" t="n"/>
      <c r="S13" s="62" t="n"/>
      <c r="T13" s="62" t="n"/>
      <c r="U13" s="62" t="n"/>
      <c r="V13" s="62" t="n"/>
      <c r="W13" s="1" t="n"/>
      <c r="X13" s="1" t="n"/>
      <c r="Y13" s="1" t="n"/>
    </row>
    <row r="14" ht="6" customHeight="1" s="22">
      <c r="A14" s="68" t="n"/>
      <c r="B14" s="73" t="n"/>
      <c r="C14" s="73" t="n"/>
      <c r="D14" s="74" t="n"/>
      <c r="E14" s="75" t="n"/>
      <c r="G14" s="56" t="n"/>
      <c r="H14" s="57" t="n"/>
      <c r="I14" s="76" t="n"/>
      <c r="J14" s="56" t="n"/>
      <c r="L14" s="59" t="n"/>
      <c r="M14" s="77" t="n"/>
      <c r="N14" s="58" t="n"/>
      <c r="O14" s="58" t="n"/>
      <c r="P14" s="62" t="n"/>
      <c r="Q14" s="54" t="n"/>
      <c r="R14" s="54" t="n"/>
      <c r="S14" s="54" t="n"/>
      <c r="T14" s="54" t="n"/>
      <c r="U14" s="62" t="n"/>
      <c r="V14" s="62" t="n"/>
      <c r="W14" s="1" t="n"/>
      <c r="X14" s="1" t="n"/>
      <c r="Y14" s="1" t="n"/>
    </row>
    <row r="15" ht="18" customHeight="1" s="22">
      <c r="A15" s="62" t="n"/>
      <c r="B15" s="63" t="inlineStr">
        <is>
          <t>📤  CTAS. POR PAGAR</t>
        </is>
      </c>
      <c r="F15" s="62" t="n"/>
      <c r="G15" s="63" t="inlineStr">
        <is>
          <t>📈  RESULTADO CONTABLE</t>
        </is>
      </c>
      <c r="K15" s="62" t="n"/>
      <c r="L15" s="63" t="inlineStr">
        <is>
          <t>📦  STOCK VALORIZADO</t>
        </is>
      </c>
      <c r="P15" s="62" t="n"/>
      <c r="Q15" s="63" t="inlineStr">
        <is>
          <t>🎯  MARGEN ESTIMADO</t>
        </is>
      </c>
      <c r="U15" s="62" t="n"/>
      <c r="V15" s="62" t="n"/>
      <c r="W15" s="1" t="n"/>
      <c r="X15" s="1" t="n"/>
      <c r="Y15" s="1" t="n"/>
    </row>
    <row r="16" ht="28" customHeight="1" s="22">
      <c r="A16" s="62" t="n"/>
      <c r="B16" s="164">
        <f>Ctas_Pagar!K3</f>
        <v/>
      </c>
      <c r="F16" s="62" t="n"/>
      <c r="G16" s="160">
        <f>Contabilidad!L3</f>
        <v/>
      </c>
      <c r="K16" s="62" t="n"/>
      <c r="L16" s="161">
        <f>Inventario!M3</f>
        <v/>
      </c>
      <c r="P16" s="62" t="n"/>
      <c r="Q16" s="79">
        <f>IFERROR((Ventas!M3-Compras!L3)/Ventas!M3,0)</f>
        <v/>
      </c>
      <c r="U16" s="62" t="n"/>
      <c r="V16" s="62" t="n"/>
      <c r="W16" s="1" t="n"/>
      <c r="X16" s="1" t="n"/>
      <c r="Y16" s="1" t="n"/>
    </row>
    <row r="17" ht="28" customHeight="1" s="22">
      <c r="A17" s="62" t="n"/>
      <c r="F17" s="62" t="n"/>
      <c r="K17" s="62" t="n"/>
      <c r="P17" s="62" t="n"/>
      <c r="U17" s="62" t="n"/>
      <c r="V17" s="62" t="n"/>
      <c r="W17" s="1" t="n"/>
      <c r="X17" s="1" t="n"/>
      <c r="Y17" s="1" t="n"/>
    </row>
    <row r="18" ht="16" customHeight="1" s="22">
      <c r="A18" s="62" t="n"/>
      <c r="B18" s="69" t="inlineStr">
        <is>
          <t>Compromisos pendientes</t>
        </is>
      </c>
      <c r="G18" s="69" t="inlineStr">
        <is>
          <t>Resultado del período</t>
        </is>
      </c>
      <c r="K18" s="62" t="n"/>
      <c r="L18" s="69" t="inlineStr">
        <is>
          <t>Valor total inventario</t>
        </is>
      </c>
      <c r="P18" s="62" t="n"/>
      <c r="Q18" s="69" t="inlineStr">
        <is>
          <t>Margen bruto del mes</t>
        </is>
      </c>
      <c r="U18" s="62" t="n"/>
      <c r="V18" s="62" t="n"/>
      <c r="W18" s="1" t="n"/>
      <c r="X18" s="1" t="n"/>
      <c r="Y18" s="1" t="n"/>
    </row>
    <row r="19" ht="3" customHeight="1" s="22">
      <c r="B19" s="73" t="n"/>
      <c r="C19" s="73" t="n"/>
      <c r="D19" s="73" t="n"/>
      <c r="E19" s="73" t="n"/>
      <c r="G19" s="56" t="n"/>
      <c r="H19" s="56" t="n"/>
      <c r="I19" s="57" t="n"/>
      <c r="J19" s="57" t="n"/>
      <c r="K19" s="62" t="n"/>
      <c r="L19" s="59" t="n"/>
      <c r="M19" s="59" t="n"/>
      <c r="N19" s="59" t="n"/>
      <c r="O19" s="59" t="n"/>
      <c r="P19" s="62" t="n"/>
      <c r="Q19" s="54" t="n"/>
      <c r="R19" s="54" t="n"/>
      <c r="S19" s="54" t="n"/>
      <c r="T19" s="54" t="n"/>
      <c r="U19" s="62" t="n"/>
      <c r="V19" s="62" t="n"/>
      <c r="W19" s="1" t="n"/>
      <c r="X19" s="1" t="n"/>
      <c r="Y19" s="1" t="n"/>
    </row>
    <row r="20" ht="3" customHeight="1" s="22">
      <c r="A20" s="62" t="n"/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1" t="n"/>
      <c r="X20" s="1" t="n"/>
      <c r="Y20" s="1" t="n"/>
    </row>
    <row r="21" ht="16" customHeight="1" s="22">
      <c r="A21" s="62" t="n"/>
      <c r="B21" s="72" t="n"/>
      <c r="C21" s="72" t="n"/>
      <c r="D21" s="72" t="n"/>
      <c r="E21" s="72" t="n"/>
      <c r="F21" s="62" t="n"/>
      <c r="G21" s="72" t="n"/>
      <c r="H21" s="72" t="n"/>
      <c r="I21" s="72" t="n"/>
      <c r="J21" s="72" t="n"/>
      <c r="K21" s="62" t="n"/>
      <c r="L21" s="72" t="n"/>
      <c r="M21" s="72" t="n"/>
      <c r="N21" s="72" t="n"/>
      <c r="O21" s="72" t="n"/>
      <c r="P21" s="62" t="n"/>
      <c r="Q21" s="72" t="n"/>
      <c r="R21" s="72" t="n"/>
      <c r="S21" s="72" t="n"/>
      <c r="T21" s="72" t="n"/>
      <c r="U21" s="62" t="n"/>
      <c r="V21" s="62" t="n"/>
      <c r="W21" s="1" t="n"/>
      <c r="X21" s="1" t="n"/>
      <c r="Y21" s="1" t="n"/>
    </row>
    <row r="22" ht="8" customHeight="1" s="22">
      <c r="A22" s="62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1" t="n"/>
      <c r="X22" s="1" t="n"/>
      <c r="Y22" s="1" t="n"/>
    </row>
    <row r="23" ht="24" customHeight="1" s="22">
      <c r="A23" s="49" t="n"/>
      <c r="B23" s="80" t="inlineStr">
        <is>
          <t>📅  RESUMEN MENSUAL</t>
        </is>
      </c>
      <c r="V23" s="62" t="n"/>
      <c r="W23" s="1" t="n"/>
      <c r="X23" s="1" t="n"/>
      <c r="Y23" s="1" t="n"/>
    </row>
    <row r="24" ht="20" customHeight="1" s="22">
      <c r="A24" s="62" t="n"/>
      <c r="B24" s="81" t="inlineStr">
        <is>
          <t>CONCEPTO</t>
        </is>
      </c>
      <c r="C24" s="82" t="inlineStr">
        <is>
          <t>Ene</t>
        </is>
      </c>
      <c r="D24" s="82" t="inlineStr">
        <is>
          <t>Feb</t>
        </is>
      </c>
      <c r="E24" s="82" t="inlineStr">
        <is>
          <t>Mar</t>
        </is>
      </c>
      <c r="F24" s="82" t="inlineStr">
        <is>
          <t>Abr</t>
        </is>
      </c>
      <c r="G24" s="82" t="inlineStr">
        <is>
          <t>May</t>
        </is>
      </c>
      <c r="H24" s="82" t="inlineStr">
        <is>
          <t>Jun</t>
        </is>
      </c>
      <c r="I24" s="82" t="inlineStr">
        <is>
          <t>Jul</t>
        </is>
      </c>
      <c r="J24" s="82" t="inlineStr">
        <is>
          <t>Ago</t>
        </is>
      </c>
      <c r="K24" s="82" t="inlineStr">
        <is>
          <t>Sep</t>
        </is>
      </c>
      <c r="L24" s="82" t="inlineStr">
        <is>
          <t>Oct</t>
        </is>
      </c>
      <c r="M24" s="82" t="inlineStr">
        <is>
          <t>Nov</t>
        </is>
      </c>
      <c r="N24" s="83" t="inlineStr">
        <is>
          <t>Dic</t>
        </is>
      </c>
      <c r="O24" s="84" t="inlineStr">
        <is>
          <t>TOTAL</t>
        </is>
      </c>
      <c r="P24" s="62" t="n"/>
      <c r="Q24" s="62" t="n"/>
      <c r="R24" s="62" t="n"/>
      <c r="S24" s="62" t="n"/>
      <c r="T24" s="62" t="n"/>
      <c r="U24" s="62" t="n"/>
      <c r="V24" s="62" t="n"/>
      <c r="W24" s="1" t="n"/>
      <c r="X24" s="1" t="n"/>
      <c r="Y24" s="1" t="n"/>
    </row>
    <row r="25" ht="18" customHeight="1" s="22">
      <c r="A25" s="62" t="n"/>
      <c r="B25" s="85" t="inlineStr">
        <is>
          <t>Ventas</t>
        </is>
      </c>
      <c r="C25" s="165">
        <f>SUMIFS(Ventas!H:H,Ventas!J:J,1,Ventas!K:K,YEAR(TODAY()))</f>
        <v/>
      </c>
      <c r="D25" s="166">
        <f>SUMIFS(Ventas!H:H,Ventas!J:J,2,Ventas!K:K,YEAR(TODAY()))</f>
        <v/>
      </c>
      <c r="E25" s="165">
        <f>SUMIFS(Ventas!H:H,Ventas!J:J,3,Ventas!K:K,YEAR(TODAY()))</f>
        <v/>
      </c>
      <c r="F25" s="166">
        <f>SUMIFS(Ventas!H:H,Ventas!J:J,4,Ventas!K:K,YEAR(TODAY()))</f>
        <v/>
      </c>
      <c r="G25" s="165">
        <f>SUMIFS(Ventas!H:H,Ventas!J:J,5,Ventas!K:K,YEAR(TODAY()))</f>
        <v/>
      </c>
      <c r="H25" s="166">
        <f>SUMIFS(Ventas!H:H,Ventas!J:J,6,Ventas!K:K,YEAR(TODAY()))</f>
        <v/>
      </c>
      <c r="I25" s="165">
        <f>SUMIFS(Ventas!H:H,Ventas!J:J,7,Ventas!K:K,YEAR(TODAY()))</f>
        <v/>
      </c>
      <c r="J25" s="166">
        <f>SUMIFS(Ventas!H:H,Ventas!J:J,8,Ventas!K:K,YEAR(TODAY()))</f>
        <v/>
      </c>
      <c r="K25" s="165">
        <f>SUMIFS(Ventas!H:H,Ventas!J:J,9,Ventas!K:K,YEAR(TODAY()))</f>
        <v/>
      </c>
      <c r="L25" s="166">
        <f>SUMIFS(Ventas!H:H,Ventas!J:J,10,Ventas!K:K,YEAR(TODAY()))</f>
        <v/>
      </c>
      <c r="M25" s="165">
        <f>SUMIFS(Ventas!H:H,Ventas!J:J,11,Ventas!K:K,YEAR(TODAY()))</f>
        <v/>
      </c>
      <c r="N25" s="166">
        <f>SUMIFS(Ventas!H:H,Ventas!J:J,12,Ventas!K:K,YEAR(TODAY()))</f>
        <v/>
      </c>
      <c r="O25" s="167">
        <f>SUM(C25:N25)</f>
        <v/>
      </c>
      <c r="P25" s="62" t="n"/>
      <c r="Q25" s="62" t="n"/>
      <c r="R25" s="62" t="n"/>
      <c r="S25" s="62" t="n"/>
      <c r="T25" s="62" t="n"/>
      <c r="U25" s="62" t="n"/>
      <c r="V25" s="62" t="n"/>
      <c r="W25" s="1" t="n"/>
      <c r="X25" s="1" t="n"/>
      <c r="Y25" s="1" t="n"/>
    </row>
    <row r="26" ht="18" customHeight="1" s="22">
      <c r="A26" s="62" t="n"/>
      <c r="B26" s="89" t="inlineStr">
        <is>
          <t>Compras</t>
        </is>
      </c>
      <c r="C26" s="165">
        <f>SUMIFS(Compras!H:H,Compras!I:I,1,Compras!J:J,YEAR(TODAY()))</f>
        <v/>
      </c>
      <c r="D26" s="166">
        <f>SUMIFS(Compras!H:H,Compras!I:I,2,Compras!J:J,YEAR(TODAY()))</f>
        <v/>
      </c>
      <c r="E26" s="165">
        <f>SUMIFS(Compras!H:H,Compras!I:I,3,Compras!J:J,YEAR(TODAY()))</f>
        <v/>
      </c>
      <c r="F26" s="166">
        <f>SUMIFS(Compras!H:H,Compras!I:I,4,Compras!J:J,YEAR(TODAY()))</f>
        <v/>
      </c>
      <c r="G26" s="165">
        <f>SUMIFS(Compras!H:H,Compras!I:I,5,Compras!J:J,YEAR(TODAY()))</f>
        <v/>
      </c>
      <c r="H26" s="166">
        <f>SUMIFS(Compras!H:H,Compras!I:I,6,Compras!J:J,YEAR(TODAY()))</f>
        <v/>
      </c>
      <c r="I26" s="165">
        <f>SUMIFS(Compras!H:H,Compras!I:I,7,Compras!J:J,YEAR(TODAY()))</f>
        <v/>
      </c>
      <c r="J26" s="166">
        <f>SUMIFS(Compras!H:H,Compras!I:I,8,Compras!J:J,YEAR(TODAY()))</f>
        <v/>
      </c>
      <c r="K26" s="165">
        <f>SUMIFS(Compras!H:H,Compras!I:I,9,Compras!J:J,YEAR(TODAY()))</f>
        <v/>
      </c>
      <c r="L26" s="166">
        <f>SUMIFS(Compras!H:H,Compras!I:I,10,Compras!J:J,YEAR(TODAY()))</f>
        <v/>
      </c>
      <c r="M26" s="165">
        <f>SUMIFS(Compras!H:H,Compras!I:I,11,Compras!J:J,YEAR(TODAY()))</f>
        <v/>
      </c>
      <c r="N26" s="166">
        <f>SUMIFS(Compras!H:H,Compras!I:I,12,Compras!J:J,YEAR(TODAY()))</f>
        <v/>
      </c>
      <c r="O26" s="167">
        <f>SUM(C26:N26)</f>
        <v/>
      </c>
      <c r="P26" s="62" t="n"/>
      <c r="Q26" s="62" t="n"/>
      <c r="R26" s="62" t="n"/>
      <c r="S26" s="62" t="n"/>
      <c r="T26" s="62" t="n"/>
      <c r="U26" s="62" t="n"/>
      <c r="V26" s="62" t="n"/>
      <c r="W26" s="1" t="n"/>
      <c r="X26" s="1" t="n"/>
      <c r="Y26" s="1" t="n"/>
    </row>
    <row r="27" ht="18" customHeight="1" s="22">
      <c r="A27" s="62" t="n"/>
      <c r="B27" s="90" t="inlineStr">
        <is>
          <t>Resultado</t>
        </is>
      </c>
      <c r="C27" s="165">
        <f>SUMIFS(Contabilidad!F:F,Contabilidad!H:H,1)-SUMIFS(Contabilidad!G:G,Contabilidad!H:H,1)</f>
        <v/>
      </c>
      <c r="D27" s="166">
        <f>SUMIFS(Contabilidad!F:F,Contabilidad!H:H,2)-SUMIFS(Contabilidad!G:G,Contabilidad!H:H,2)</f>
        <v/>
      </c>
      <c r="E27" s="165">
        <f>SUMIFS(Contabilidad!F:F,Contabilidad!H:H,3)-SUMIFS(Contabilidad!G:G,Contabilidad!H:H,3)</f>
        <v/>
      </c>
      <c r="F27" s="166">
        <f>SUMIFS(Contabilidad!F:F,Contabilidad!H:H,4)-SUMIFS(Contabilidad!G:G,Contabilidad!H:H,4)</f>
        <v/>
      </c>
      <c r="G27" s="165">
        <f>SUMIFS(Contabilidad!F:F,Contabilidad!H:H,5)-SUMIFS(Contabilidad!G:G,Contabilidad!H:H,5)</f>
        <v/>
      </c>
      <c r="H27" s="166">
        <f>SUMIFS(Contabilidad!F:F,Contabilidad!H:H,6)-SUMIFS(Contabilidad!G:G,Contabilidad!H:H,6)</f>
        <v/>
      </c>
      <c r="I27" s="165">
        <f>SUMIFS(Contabilidad!F:F,Contabilidad!H:H,7)-SUMIFS(Contabilidad!G:G,Contabilidad!H:H,7)</f>
        <v/>
      </c>
      <c r="J27" s="166">
        <f>SUMIFS(Contabilidad!F:F,Contabilidad!H:H,8)-SUMIFS(Contabilidad!G:G,Contabilidad!H:H,8)</f>
        <v/>
      </c>
      <c r="K27" s="165">
        <f>SUMIFS(Contabilidad!F:F,Contabilidad!H:H,9)-SUMIFS(Contabilidad!G:G,Contabilidad!H:H,9)</f>
        <v/>
      </c>
      <c r="L27" s="166">
        <f>SUMIFS(Contabilidad!F:F,Contabilidad!H:H,10)-SUMIFS(Contabilidad!G:G,Contabilidad!H:H,10)</f>
        <v/>
      </c>
      <c r="M27" s="165">
        <f>SUMIFS(Contabilidad!F:F,Contabilidad!H:H,11)-SUMIFS(Contabilidad!G:G,Contabilidad!H:H,11)</f>
        <v/>
      </c>
      <c r="N27" s="166">
        <f>SUMIFS(Contabilidad!F:F,Contabilidad!H:H,12)-SUMIFS(Contabilidad!G:G,Contabilidad!H:H,12)</f>
        <v/>
      </c>
      <c r="O27" s="167">
        <f>SUM(C27:N27)</f>
        <v/>
      </c>
      <c r="P27" s="62" t="n"/>
      <c r="Q27" s="62" t="n"/>
      <c r="R27" s="62" t="n"/>
      <c r="S27" s="62" t="n"/>
      <c r="T27" s="62" t="n"/>
      <c r="U27" s="62" t="n"/>
      <c r="V27" s="62" t="n"/>
      <c r="W27" s="1" t="n"/>
      <c r="X27" s="1" t="n"/>
      <c r="Y27" s="1" t="n"/>
    </row>
    <row r="28" ht="8" customHeight="1" s="22">
      <c r="A28" s="62" t="n"/>
      <c r="B28" s="68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1" t="n"/>
      <c r="X28" s="1" t="n"/>
      <c r="Y28" s="1" t="n"/>
    </row>
    <row r="29" ht="24" customHeight="1" s="22">
      <c r="A29" s="49" t="n"/>
      <c r="B29" s="80" t="inlineStr">
        <is>
          <t>⚠️  ALERTAS Y SEMÁFOROS</t>
        </is>
      </c>
      <c r="V29" s="62" t="n"/>
      <c r="W29" s="1" t="n"/>
      <c r="X29" s="1" t="n"/>
      <c r="Y29" s="1" t="n"/>
    </row>
    <row r="30" ht="16" customHeight="1" s="22">
      <c r="A30" s="62" t="n"/>
      <c r="B30" s="91" t="inlineStr">
        <is>
          <t>Conciliación bancaria</t>
        </is>
      </c>
      <c r="F30" s="62" t="n"/>
      <c r="G30" s="63" t="inlineStr">
        <is>
          <t>Ctas. por cobrar vencidas</t>
        </is>
      </c>
      <c r="K30" s="62" t="n"/>
      <c r="L30" s="63" t="inlineStr">
        <is>
          <t>Ctas. por pagar vencidas</t>
        </is>
      </c>
      <c r="P30" s="62" t="n"/>
      <c r="Q30" s="63" t="inlineStr">
        <is>
          <t>Productos bajo stock mínimo</t>
        </is>
      </c>
      <c r="U30" s="62" t="n"/>
      <c r="V30" s="62" t="n"/>
      <c r="W30" s="1" t="n"/>
      <c r="X30" s="1" t="n"/>
      <c r="Y30" s="1" t="n"/>
    </row>
    <row r="31" ht="20" customHeight="1" s="22">
      <c r="A31" s="62" t="n"/>
      <c r="B31" s="92">
        <f>IF(Conciliacion!K8=0,"✅  CUADRADA","❌  DESCUADRE: "&amp;TEXT(ABS(Conciliacion!K8),"#,##0"))</f>
        <v/>
      </c>
      <c r="F31" s="62" t="n"/>
      <c r="G31" s="93">
        <f>COUNTIFS(Ctas_Cobrar!H:H,"Vencido")&amp;" documento(s) vencido(s)"</f>
        <v/>
      </c>
      <c r="K31" s="62" t="n"/>
      <c r="L31" s="94">
        <f>COUNTIFS(Ctas_Pagar!H:H,"Vencido")&amp;" pago(s) vencido(s)"</f>
        <v/>
      </c>
      <c r="P31" s="62" t="n"/>
      <c r="Q31" s="95">
        <f>Inventario!N3&amp;" producto(s) bajo mínimo"</f>
        <v/>
      </c>
      <c r="U31" s="62" t="n"/>
      <c r="V31" s="62" t="n"/>
      <c r="W31" s="1" t="n"/>
      <c r="X31" s="1" t="n"/>
      <c r="Y31" s="1" t="n"/>
    </row>
    <row r="32" ht="8" customHeight="1" s="22">
      <c r="A32" s="62" t="n"/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1" t="n"/>
      <c r="X32" s="1" t="n"/>
      <c r="Y32" s="1" t="n"/>
    </row>
    <row r="33" ht="16" customHeight="1" s="22">
      <c r="A33" s="62" t="n"/>
      <c r="B33" s="62" t="n"/>
      <c r="C33" s="62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1" t="n"/>
      <c r="X33" s="1" t="n"/>
      <c r="Y33" s="1" t="n"/>
    </row>
    <row r="34" ht="16" customHeight="1" s="22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1" t="n"/>
      <c r="X34" s="1" t="n"/>
      <c r="Y34" s="1" t="n"/>
    </row>
    <row r="35" ht="16" customHeight="1" s="22">
      <c r="A35" s="62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1" t="n"/>
      <c r="X35" s="1" t="n"/>
      <c r="Y35" s="1" t="n"/>
    </row>
    <row r="36" ht="16" customHeight="1" s="22">
      <c r="A36" s="62" t="n"/>
      <c r="B36" s="6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1" t="n"/>
      <c r="X36" s="1" t="n"/>
      <c r="Y36" s="1" t="n"/>
    </row>
    <row r="37" ht="16" customHeight="1" s="22">
      <c r="A37" s="62" t="n"/>
      <c r="B37" s="6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1" t="n"/>
      <c r="X37" s="1" t="n"/>
      <c r="Y37" s="1" t="n"/>
    </row>
    <row r="38" ht="16" customHeight="1" s="22">
      <c r="A38" s="62" t="n"/>
      <c r="B38" s="6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1" t="n"/>
      <c r="X38" s="1" t="n"/>
      <c r="Y38" s="1" t="n"/>
    </row>
    <row r="39" ht="16" customHeight="1" s="22">
      <c r="A39" s="62" t="n"/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1" t="n"/>
      <c r="X39" s="1" t="n"/>
      <c r="Y39" s="1" t="n"/>
    </row>
    <row r="40" ht="16" customHeight="1" s="22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1" t="n"/>
      <c r="X40" s="1" t="n"/>
      <c r="Y40" s="1" t="n"/>
    </row>
    <row r="41" ht="16" customHeight="1" s="22">
      <c r="A41" s="62" t="n"/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1" t="n"/>
      <c r="X41" s="1" t="n"/>
      <c r="Y41" s="1" t="n"/>
    </row>
    <row r="42" ht="16" customHeight="1" s="22">
      <c r="A42" s="62" t="n"/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1" t="n"/>
      <c r="X42" s="1" t="n"/>
      <c r="Y42" s="1" t="n"/>
    </row>
    <row r="43" ht="16" customHeight="1" s="22">
      <c r="A43" s="62" t="n"/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1" t="n"/>
      <c r="X43" s="1" t="n"/>
      <c r="Y43" s="1" t="n"/>
    </row>
    <row r="44" ht="16" customHeight="1" s="22">
      <c r="A44" s="62" t="n"/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1" t="n"/>
      <c r="X44" s="1" t="n"/>
      <c r="Y44" s="1" t="n"/>
    </row>
    <row r="45" ht="16" customHeight="1" s="22">
      <c r="A45" s="62" t="n"/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1" t="n"/>
      <c r="X45" s="1" t="n"/>
      <c r="Y45" s="1" t="n"/>
    </row>
    <row r="46" ht="16" customHeight="1" s="22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1" t="n"/>
      <c r="X46" s="1" t="n"/>
      <c r="Y46" s="1" t="n"/>
    </row>
    <row r="47" ht="16" customHeight="1" s="22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1" t="n"/>
      <c r="X47" s="1" t="n"/>
      <c r="Y47" s="1" t="n"/>
    </row>
    <row r="48" ht="16" customHeight="1" s="22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1" t="n"/>
      <c r="X48" s="1" t="n"/>
      <c r="Y48" s="1" t="n"/>
    </row>
    <row r="49" ht="16" customHeight="1" s="22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1" t="n"/>
      <c r="X49" s="1" t="n"/>
      <c r="Y49" s="1" t="n"/>
    </row>
    <row r="50" ht="16" customHeight="1" s="22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1" t="n"/>
      <c r="X50" s="1" t="n"/>
      <c r="Y50" s="1" t="n"/>
    </row>
    <row r="51" ht="16" customHeight="1" s="22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1" t="n"/>
      <c r="X51" s="1" t="n"/>
      <c r="Y51" s="1" t="n"/>
    </row>
    <row r="52" ht="16" customHeight="1" s="2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1" t="n"/>
      <c r="X52" s="1" t="n"/>
      <c r="Y52" s="1" t="n"/>
    </row>
    <row r="53" ht="16" customHeight="1" s="22">
      <c r="A53" s="62" t="n"/>
      <c r="B53" s="62" t="n"/>
      <c r="C53" s="62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1" t="n"/>
      <c r="X53" s="1" t="n"/>
      <c r="Y53" s="1" t="n"/>
    </row>
    <row r="54" ht="16" customHeight="1" s="22">
      <c r="A54" s="62" t="n"/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1" t="n"/>
      <c r="X54" s="1" t="n"/>
      <c r="Y54" s="1" t="n"/>
    </row>
    <row r="55" ht="16" customHeight="1" s="22">
      <c r="A55" s="62" t="n"/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1" t="n"/>
      <c r="X55" s="1" t="n"/>
      <c r="Y55" s="1" t="n"/>
    </row>
    <row r="56" ht="16" customHeight="1" s="22">
      <c r="A56" s="62" t="n"/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1" t="n"/>
      <c r="X56" s="1" t="n"/>
      <c r="Y56" s="1" t="n"/>
    </row>
    <row r="57" ht="16" customHeight="1" s="22">
      <c r="A57" s="62" t="n"/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1" t="n"/>
      <c r="X57" s="1" t="n"/>
      <c r="Y57" s="1" t="n"/>
    </row>
    <row r="58" ht="16" customHeight="1" s="22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1" t="n"/>
      <c r="X58" s="1" t="n"/>
      <c r="Y58" s="1" t="n"/>
    </row>
    <row r="59" ht="16" customHeight="1" s="22">
      <c r="A59" s="62" t="n"/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1" t="n"/>
      <c r="X59" s="1" t="n"/>
      <c r="Y59" s="1" t="n"/>
    </row>
    <row r="60" ht="16" customHeight="1" s="22">
      <c r="A60" s="62" t="n"/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1" t="n"/>
      <c r="X60" s="1" t="n"/>
      <c r="Y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>
      <c r="A100" s="1" t="inlineStr">
        <is>
          <t>Mes</t>
        </is>
      </c>
      <c r="B100" s="1" t="inlineStr">
        <is>
          <t>Ventas</t>
        </is>
      </c>
      <c r="C100" s="1" t="inlineStr">
        <is>
          <t>Compras</t>
        </is>
      </c>
      <c r="D100" s="1" t="inlineStr">
        <is>
          <t>Resultado</t>
        </is>
      </c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>
      <c r="A101" t="inlineStr">
        <is>
          <t>Ene</t>
        </is>
      </c>
      <c r="B101">
        <f>SUMIFS(Ventas!H:H,Ventas!J:J,1,Ventas!K:K,YEAR(TODAY()))</f>
        <v/>
      </c>
      <c r="C101">
        <f>SUMIFS(Compras!H:H,Compras!I:I,1,Compras!J:J,YEAR(TODAY()))</f>
        <v/>
      </c>
      <c r="D101">
        <f>B101-C101</f>
        <v/>
      </c>
    </row>
    <row r="102">
      <c r="A102" t="inlineStr">
        <is>
          <t>Feb</t>
        </is>
      </c>
      <c r="B102">
        <f>SUMIFS(Ventas!H:H,Ventas!J:J,2,Ventas!K:K,YEAR(TODAY()))</f>
        <v/>
      </c>
      <c r="C102">
        <f>SUMIFS(Compras!H:H,Compras!I:I,2,Compras!J:J,YEAR(TODAY()))</f>
        <v/>
      </c>
      <c r="D102">
        <f>B102-C102</f>
        <v/>
      </c>
    </row>
    <row r="103">
      <c r="A103" t="inlineStr">
        <is>
          <t>Mar</t>
        </is>
      </c>
      <c r="B103">
        <f>SUMIFS(Ventas!H:H,Ventas!J:J,3,Ventas!K:K,YEAR(TODAY()))</f>
        <v/>
      </c>
      <c r="C103">
        <f>SUMIFS(Compras!H:H,Compras!I:I,3,Compras!J:J,YEAR(TODAY()))</f>
        <v/>
      </c>
      <c r="D103">
        <f>B103-C103</f>
        <v/>
      </c>
    </row>
    <row r="104">
      <c r="A104" t="inlineStr">
        <is>
          <t>Abr</t>
        </is>
      </c>
      <c r="B104">
        <f>SUMIFS(Ventas!H:H,Ventas!J:J,4,Ventas!K:K,YEAR(TODAY()))</f>
        <v/>
      </c>
      <c r="C104">
        <f>SUMIFS(Compras!H:H,Compras!I:I,4,Compras!J:J,YEAR(TODAY()))</f>
        <v/>
      </c>
      <c r="D104">
        <f>B104-C104</f>
        <v/>
      </c>
    </row>
    <row r="105">
      <c r="A105" t="inlineStr">
        <is>
          <t>May</t>
        </is>
      </c>
      <c r="B105">
        <f>SUMIFS(Ventas!H:H,Ventas!J:J,5,Ventas!K:K,YEAR(TODAY()))</f>
        <v/>
      </c>
      <c r="C105">
        <f>SUMIFS(Compras!H:H,Compras!I:I,5,Compras!J:J,YEAR(TODAY()))</f>
        <v/>
      </c>
      <c r="D105">
        <f>B105-C105</f>
        <v/>
      </c>
    </row>
    <row r="106">
      <c r="A106" t="inlineStr">
        <is>
          <t>Jun</t>
        </is>
      </c>
      <c r="B106">
        <f>SUMIFS(Ventas!H:H,Ventas!J:J,6,Ventas!K:K,YEAR(TODAY()))</f>
        <v/>
      </c>
      <c r="C106">
        <f>SUMIFS(Compras!H:H,Compras!I:I,6,Compras!J:J,YEAR(TODAY()))</f>
        <v/>
      </c>
      <c r="D106">
        <f>B106-C106</f>
        <v/>
      </c>
    </row>
    <row r="107">
      <c r="A107" t="inlineStr">
        <is>
          <t>Jul</t>
        </is>
      </c>
      <c r="B107">
        <f>SUMIFS(Ventas!H:H,Ventas!J:J,7,Ventas!K:K,YEAR(TODAY()))</f>
        <v/>
      </c>
      <c r="C107">
        <f>SUMIFS(Compras!H:H,Compras!I:I,7,Compras!J:J,YEAR(TODAY()))</f>
        <v/>
      </c>
      <c r="D107">
        <f>B107-C107</f>
        <v/>
      </c>
    </row>
    <row r="108">
      <c r="A108" t="inlineStr">
        <is>
          <t>Ago</t>
        </is>
      </c>
      <c r="B108">
        <f>SUMIFS(Ventas!H:H,Ventas!J:J,8,Ventas!K:K,YEAR(TODAY()))</f>
        <v/>
      </c>
      <c r="C108">
        <f>SUMIFS(Compras!H:H,Compras!I:I,8,Compras!J:J,YEAR(TODAY()))</f>
        <v/>
      </c>
      <c r="D108">
        <f>B108-C108</f>
        <v/>
      </c>
    </row>
    <row r="109">
      <c r="A109" t="inlineStr">
        <is>
          <t>Sep</t>
        </is>
      </c>
      <c r="B109">
        <f>SUMIFS(Ventas!H:H,Ventas!J:J,9,Ventas!K:K,YEAR(TODAY()))</f>
        <v/>
      </c>
      <c r="C109">
        <f>SUMIFS(Compras!H:H,Compras!I:I,9,Compras!J:J,YEAR(TODAY()))</f>
        <v/>
      </c>
      <c r="D109">
        <f>B109-C109</f>
        <v/>
      </c>
    </row>
    <row r="110">
      <c r="A110" t="inlineStr">
        <is>
          <t>Oct</t>
        </is>
      </c>
      <c r="B110">
        <f>SUMIFS(Ventas!H:H,Ventas!J:J,10,Ventas!K:K,YEAR(TODAY()))</f>
        <v/>
      </c>
      <c r="C110">
        <f>SUMIFS(Compras!H:H,Compras!I:I,10,Compras!J:J,YEAR(TODAY()))</f>
        <v/>
      </c>
      <c r="D110">
        <f>B110-C110</f>
        <v/>
      </c>
    </row>
    <row r="111">
      <c r="A111" t="inlineStr">
        <is>
          <t>Nov</t>
        </is>
      </c>
      <c r="B111">
        <f>SUMIFS(Ventas!H:H,Ventas!J:J,11,Ventas!K:K,YEAR(TODAY()))</f>
        <v/>
      </c>
      <c r="C111">
        <f>SUMIFS(Compras!H:H,Compras!I:I,11,Compras!J:J,YEAR(TODAY()))</f>
        <v/>
      </c>
      <c r="D111">
        <f>B111-C111</f>
        <v/>
      </c>
    </row>
    <row r="112">
      <c r="A112" t="inlineStr">
        <is>
          <t>Dic</t>
        </is>
      </c>
      <c r="B112">
        <f>SUMIFS(Ventas!H:H,Ventas!J:J,12,Ventas!K:K,YEAR(TODAY()))</f>
        <v/>
      </c>
      <c r="C112">
        <f>SUMIFS(Compras!H:H,Compras!I:I,12,Compras!J:J,YEAR(TODAY()))</f>
        <v/>
      </c>
      <c r="D112">
        <f>B112-C112</f>
        <v/>
      </c>
    </row>
  </sheetData>
  <mergeCells count="37">
    <mergeCell ref="Q9:T9"/>
    <mergeCell ref="B9:E9"/>
    <mergeCell ref="L31:O31"/>
    <mergeCell ref="L9:O9"/>
    <mergeCell ref="Q30:T30"/>
    <mergeCell ref="B6:E6"/>
    <mergeCell ref="B30:E30"/>
    <mergeCell ref="B15:E15"/>
    <mergeCell ref="L6:O6"/>
    <mergeCell ref="G7:J8"/>
    <mergeCell ref="K2:T2"/>
    <mergeCell ref="G9:J9"/>
    <mergeCell ref="G31:J31"/>
    <mergeCell ref="L16:O17"/>
    <mergeCell ref="Q18:T18"/>
    <mergeCell ref="B31:E31"/>
    <mergeCell ref="B3:T3"/>
    <mergeCell ref="B18:E18"/>
    <mergeCell ref="B23:U23"/>
    <mergeCell ref="B29:U29"/>
    <mergeCell ref="G16:J17"/>
    <mergeCell ref="Q7:T8"/>
    <mergeCell ref="L15:O15"/>
    <mergeCell ref="L18:O18"/>
    <mergeCell ref="Q16:T17"/>
    <mergeCell ref="G6:J6"/>
    <mergeCell ref="G18:J18"/>
    <mergeCell ref="Q31:T31"/>
    <mergeCell ref="L30:O30"/>
    <mergeCell ref="B16:E17"/>
    <mergeCell ref="G30:J30"/>
    <mergeCell ref="B7:E8"/>
    <mergeCell ref="G15:J15"/>
    <mergeCell ref="Q6:T6"/>
    <mergeCell ref="L7:O8"/>
    <mergeCell ref="Q15:T15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selection activeCell="A1" sqref="A1"/>
    </sheetView>
  </sheetViews>
  <sheetFormatPr baseColWidth="8" defaultRowHeight="15"/>
  <cols>
    <col width="2" customWidth="1" style="22" min="1" max="1"/>
    <col width="18" customWidth="1" style="22" min="2" max="2"/>
    <col width="16" customWidth="1" style="22" min="3" max="3"/>
    <col width="16" customWidth="1" style="22" min="4" max="4"/>
    <col width="2" customWidth="1" style="22" min="5" max="5"/>
    <col width="18" customWidth="1" style="22" min="6" max="6"/>
    <col width="16" customWidth="1" style="22" min="7" max="7"/>
    <col width="16" customWidth="1" style="22" min="8" max="8"/>
    <col width="2" customWidth="1" style="22" min="9" max="9"/>
    <col width="18" customWidth="1" style="22" min="10" max="10"/>
    <col width="16" customWidth="1" style="22" min="11" max="11"/>
    <col width="16" customWidth="1" style="22" min="12" max="12"/>
    <col width="2" customWidth="1" style="22" min="13" max="13"/>
    <col width="18" customWidth="1" style="22" min="14" max="14"/>
    <col width="16" customWidth="1" style="22" min="15" max="15"/>
    <col width="2" customWidth="1" style="22" min="16" max="16"/>
  </cols>
  <sheetData>
    <row r="1" ht="6" customHeight="1" s="22">
      <c r="A1" s="50" t="n"/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</row>
    <row r="2" ht="30" customHeight="1" s="22">
      <c r="A2" s="50" t="n"/>
      <c r="B2" s="96" t="inlineStr">
        <is>
          <t>RESUMEN EJECUTIVO</t>
        </is>
      </c>
      <c r="J2" s="97">
        <f>TEXT(TODAY(),"Período a DD de MMMM de YYYY")</f>
        <v/>
      </c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 ht="8" customHeight="1" s="22"/>
    <row r="5" ht="18" customHeight="1" s="22">
      <c r="B5" s="98" t="inlineStr">
        <is>
          <t>💰  VENTAS DEL MES</t>
        </is>
      </c>
      <c r="F5" s="98" t="inlineStr">
        <is>
          <t>🛒  COMPRAS DEL MES</t>
        </is>
      </c>
      <c r="J5" s="98" t="inlineStr">
        <is>
          <t>📈  RESULTADO NETO</t>
        </is>
      </c>
      <c r="N5" s="98" t="inlineStr">
        <is>
          <t>🎯  MARGEN BRUTO</t>
        </is>
      </c>
    </row>
    <row r="6" ht="30" customHeight="1" s="22">
      <c r="B6" s="168">
        <f>Ventas!M3</f>
        <v/>
      </c>
      <c r="F6" s="169">
        <f>Compras!L3</f>
        <v/>
      </c>
      <c r="J6" s="170">
        <f>Contabilidad!L3</f>
        <v/>
      </c>
      <c r="N6" s="102">
        <f>IFERROR((Ventas!M3-Compras!L3)/Ventas!M3,0)</f>
        <v/>
      </c>
    </row>
    <row r="7" ht="5" customHeight="1" s="22">
      <c r="B7" s="103" t="n"/>
      <c r="F7" s="104" t="n"/>
      <c r="J7" s="105" t="n"/>
      <c r="N7" s="55" t="n"/>
    </row>
    <row r="8" ht="5" customHeight="1" s="22"/>
    <row r="9" ht="18" customHeight="1" s="22">
      <c r="B9" s="98" t="inlineStr">
        <is>
          <t>🏦  SALDO CAJA</t>
        </is>
      </c>
      <c r="F9" s="98" t="inlineStr">
        <is>
          <t>📥  CTAS POR COBRAR</t>
        </is>
      </c>
      <c r="J9" s="98" t="inlineStr">
        <is>
          <t>📤  CTAS POR PAGAR</t>
        </is>
      </c>
      <c r="N9" s="98" t="inlineStr">
        <is>
          <t>📦  STOCK VALORIZADO</t>
        </is>
      </c>
    </row>
    <row r="10" ht="30" customHeight="1" s="22">
      <c r="B10" s="171">
        <f>Caja!Q6</f>
        <v/>
      </c>
      <c r="F10" s="172">
        <f>Ctas_Cobrar!L3</f>
        <v/>
      </c>
      <c r="J10" s="169">
        <f>Ctas_Pagar!K3</f>
        <v/>
      </c>
      <c r="N10" s="170">
        <f>Inventario!M3</f>
        <v/>
      </c>
    </row>
    <row r="11" ht="5" customHeight="1" s="22">
      <c r="B11" s="50" t="n"/>
      <c r="F11" s="108" t="n"/>
      <c r="J11" s="104" t="n"/>
      <c r="N11" s="105" t="n"/>
    </row>
    <row r="12" ht="8" customHeight="1" s="22"/>
    <row r="13" ht="22" customHeight="1" s="22">
      <c r="A13" s="50" t="n"/>
      <c r="B13" s="109" t="inlineStr">
        <is>
          <t>EVOLUCIÓN MENSUAL</t>
        </is>
      </c>
    </row>
    <row r="14" ht="18" customHeight="1" s="22">
      <c r="B14" s="110" t="inlineStr">
        <is>
          <t>CONCEPTO</t>
        </is>
      </c>
      <c r="C14" s="110" t="inlineStr">
        <is>
          <t>E</t>
        </is>
      </c>
      <c r="D14" s="110" t="inlineStr">
        <is>
          <t>F</t>
        </is>
      </c>
      <c r="E14" s="110" t="inlineStr">
        <is>
          <t>M</t>
        </is>
      </c>
      <c r="F14" s="110" t="inlineStr">
        <is>
          <t>A</t>
        </is>
      </c>
      <c r="G14" s="110" t="inlineStr">
        <is>
          <t>M</t>
        </is>
      </c>
      <c r="H14" s="110" t="inlineStr">
        <is>
          <t>J</t>
        </is>
      </c>
      <c r="I14" s="110" t="inlineStr">
        <is>
          <t>J</t>
        </is>
      </c>
      <c r="J14" s="110" t="inlineStr">
        <is>
          <t>A</t>
        </is>
      </c>
      <c r="K14" s="110" t="inlineStr">
        <is>
          <t>S</t>
        </is>
      </c>
      <c r="L14" s="110" t="inlineStr">
        <is>
          <t>O</t>
        </is>
      </c>
      <c r="M14" s="110" t="inlineStr">
        <is>
          <t>N</t>
        </is>
      </c>
      <c r="N14" s="110" t="inlineStr">
        <is>
          <t>D</t>
        </is>
      </c>
      <c r="O14" s="111" t="inlineStr">
        <is>
          <t>TOTAL</t>
        </is>
      </c>
    </row>
    <row r="15" ht="16" customHeight="1" s="22">
      <c r="B15" s="112" t="inlineStr">
        <is>
          <t>Ventas</t>
        </is>
      </c>
      <c r="C15" s="173">
        <f>SUMIFS(Ventas!H:H,Ventas!J:J,1,Ventas!K:K,YEAR(TODAY()))</f>
        <v/>
      </c>
      <c r="D15" s="174">
        <f>SUMIFS(Ventas!H:H,Ventas!J:J,2,Ventas!K:K,YEAR(TODAY()))</f>
        <v/>
      </c>
      <c r="E15" s="173">
        <f>SUMIFS(Ventas!H:H,Ventas!J:J,3,Ventas!K:K,YEAR(TODAY()))</f>
        <v/>
      </c>
      <c r="F15" s="174">
        <f>SUMIFS(Ventas!H:H,Ventas!J:J,4,Ventas!K:K,YEAR(TODAY()))</f>
        <v/>
      </c>
      <c r="G15" s="173">
        <f>SUMIFS(Ventas!H:H,Ventas!J:J,5,Ventas!K:K,YEAR(TODAY()))</f>
        <v/>
      </c>
      <c r="H15" s="174">
        <f>SUMIFS(Ventas!H:H,Ventas!J:J,6,Ventas!K:K,YEAR(TODAY()))</f>
        <v/>
      </c>
      <c r="I15" s="173">
        <f>SUMIFS(Ventas!H:H,Ventas!J:J,7,Ventas!K:K,YEAR(TODAY()))</f>
        <v/>
      </c>
      <c r="J15" s="174">
        <f>SUMIFS(Ventas!H:H,Ventas!J:J,8,Ventas!K:K,YEAR(TODAY()))</f>
        <v/>
      </c>
      <c r="K15" s="173">
        <f>SUMIFS(Ventas!H:H,Ventas!J:J,9,Ventas!K:K,YEAR(TODAY()))</f>
        <v/>
      </c>
      <c r="L15" s="174">
        <f>SUMIFS(Ventas!H:H,Ventas!J:J,10,Ventas!K:K,YEAR(TODAY()))</f>
        <v/>
      </c>
      <c r="M15" s="173">
        <f>SUMIFS(Ventas!H:H,Ventas!J:J,11,Ventas!K:K,YEAR(TODAY()))</f>
        <v/>
      </c>
      <c r="N15" s="174">
        <f>SUMIFS(Ventas!H:H,Ventas!J:J,12,Ventas!K:K,YEAR(TODAY()))</f>
        <v/>
      </c>
      <c r="O15" s="175">
        <f>SUM(C15:N15)</f>
        <v/>
      </c>
    </row>
    <row r="16" ht="16" customHeight="1" s="22">
      <c r="B16" s="116" t="inlineStr">
        <is>
          <t>Compras</t>
        </is>
      </c>
      <c r="C16" s="173">
        <f>SUMIFS(Compras!H:H,Compras!I:I,1,Compras!J:J,YEAR(TODAY()))</f>
        <v/>
      </c>
      <c r="D16" s="174">
        <f>SUMIFS(Compras!H:H,Compras!I:I,2,Compras!J:J,YEAR(TODAY()))</f>
        <v/>
      </c>
      <c r="E16" s="173">
        <f>SUMIFS(Compras!H:H,Compras!I:I,3,Compras!J:J,YEAR(TODAY()))</f>
        <v/>
      </c>
      <c r="F16" s="174">
        <f>SUMIFS(Compras!H:H,Compras!I:I,4,Compras!J:J,YEAR(TODAY()))</f>
        <v/>
      </c>
      <c r="G16" s="173">
        <f>SUMIFS(Compras!H:H,Compras!I:I,5,Compras!J:J,YEAR(TODAY()))</f>
        <v/>
      </c>
      <c r="H16" s="174">
        <f>SUMIFS(Compras!H:H,Compras!I:I,6,Compras!J:J,YEAR(TODAY()))</f>
        <v/>
      </c>
      <c r="I16" s="173">
        <f>SUMIFS(Compras!H:H,Compras!I:I,7,Compras!J:J,YEAR(TODAY()))</f>
        <v/>
      </c>
      <c r="J16" s="174">
        <f>SUMIFS(Compras!H:H,Compras!I:I,8,Compras!J:J,YEAR(TODAY()))</f>
        <v/>
      </c>
      <c r="K16" s="173">
        <f>SUMIFS(Compras!H:H,Compras!I:I,9,Compras!J:J,YEAR(TODAY()))</f>
        <v/>
      </c>
      <c r="L16" s="174">
        <f>SUMIFS(Compras!H:H,Compras!I:I,10,Compras!J:J,YEAR(TODAY()))</f>
        <v/>
      </c>
      <c r="M16" s="173">
        <f>SUMIFS(Compras!H:H,Compras!I:I,11,Compras!J:J,YEAR(TODAY()))</f>
        <v/>
      </c>
      <c r="N16" s="174">
        <f>SUMIFS(Compras!H:H,Compras!I:I,12,Compras!J:J,YEAR(TODAY()))</f>
        <v/>
      </c>
      <c r="O16" s="176">
        <f>SUM(C16:N16)</f>
        <v/>
      </c>
    </row>
    <row r="17" ht="16" customHeight="1" s="22">
      <c r="B17" s="118" t="inlineStr">
        <is>
          <t>Resultado</t>
        </is>
      </c>
      <c r="C17" s="173">
        <f>SUMIFS(Contabilidad!F:F,Contabilidad!H:H,1)-SUMIFS(Contabilidad!G:G,Contabilidad!H:H,1)</f>
        <v/>
      </c>
      <c r="D17" s="174">
        <f>SUMIFS(Contabilidad!F:F,Contabilidad!H:H,2)-SUMIFS(Contabilidad!G:G,Contabilidad!H:H,2)</f>
        <v/>
      </c>
      <c r="E17" s="173">
        <f>SUMIFS(Contabilidad!F:F,Contabilidad!H:H,3)-SUMIFS(Contabilidad!G:G,Contabilidad!H:H,3)</f>
        <v/>
      </c>
      <c r="F17" s="174">
        <f>SUMIFS(Contabilidad!F:F,Contabilidad!H:H,4)-SUMIFS(Contabilidad!G:G,Contabilidad!H:H,4)</f>
        <v/>
      </c>
      <c r="G17" s="173">
        <f>SUMIFS(Contabilidad!F:F,Contabilidad!H:H,5)-SUMIFS(Contabilidad!G:G,Contabilidad!H:H,5)</f>
        <v/>
      </c>
      <c r="H17" s="174">
        <f>SUMIFS(Contabilidad!F:F,Contabilidad!H:H,6)-SUMIFS(Contabilidad!G:G,Contabilidad!H:H,6)</f>
        <v/>
      </c>
      <c r="I17" s="173">
        <f>SUMIFS(Contabilidad!F:F,Contabilidad!H:H,7)-SUMIFS(Contabilidad!G:G,Contabilidad!H:H,7)</f>
        <v/>
      </c>
      <c r="J17" s="174">
        <f>SUMIFS(Contabilidad!F:F,Contabilidad!H:H,8)-SUMIFS(Contabilidad!G:G,Contabilidad!H:H,8)</f>
        <v/>
      </c>
      <c r="K17" s="173">
        <f>SUMIFS(Contabilidad!F:F,Contabilidad!H:H,9)-SUMIFS(Contabilidad!G:G,Contabilidad!H:H,9)</f>
        <v/>
      </c>
      <c r="L17" s="174">
        <f>SUMIFS(Contabilidad!F:F,Contabilidad!H:H,10)-SUMIFS(Contabilidad!G:G,Contabilidad!H:H,10)</f>
        <v/>
      </c>
      <c r="M17" s="173">
        <f>SUMIFS(Contabilidad!F:F,Contabilidad!H:H,11)-SUMIFS(Contabilidad!G:G,Contabilidad!H:H,11)</f>
        <v/>
      </c>
      <c r="N17" s="174">
        <f>SUMIFS(Contabilidad!F:F,Contabilidad!H:H,12)-SUMIFS(Contabilidad!G:G,Contabilidad!H:H,12)</f>
        <v/>
      </c>
      <c r="O17" s="177">
        <f>SUM(C17:N17)</f>
        <v/>
      </c>
    </row>
    <row r="18"/>
    <row r="19"/>
    <row r="20" ht="18" customHeight="1" s="22">
      <c r="A20" s="70" t="n"/>
      <c r="B20" s="178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</row>
    <row r="2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</row>
    <row r="22" ht="22" customHeight="1" s="22">
      <c r="A22" s="179" t="n"/>
      <c r="B22" s="180" t="inlineStr">
        <is>
          <t>RATIOS CLAVE DEL PERIODO</t>
        </is>
      </c>
    </row>
    <row r="23" ht="6" customHeight="1" s="22">
      <c r="A23" s="70" t="n"/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</row>
    <row r="24" ht="14" customHeight="1" s="22">
      <c r="A24" s="70" t="n"/>
      <c r="B24" s="181" t="inlineStr">
        <is>
          <t>MARGEN BRUTO</t>
        </is>
      </c>
      <c r="G24" s="70" t="n"/>
      <c r="H24" s="70" t="n"/>
      <c r="I24" s="181" t="inlineStr">
        <is>
          <t>ROTACIÓN CXC (DÍAS)</t>
        </is>
      </c>
      <c r="N24" s="70" t="n"/>
      <c r="O24" s="70" t="n"/>
      <c r="P24" s="70" t="n"/>
    </row>
    <row r="25" ht="22" customHeight="1" s="22">
      <c r="A25" s="70" t="n"/>
      <c r="B25" s="182">
        <f>IFERROR((Ventas!M3-Compras!L3)/Ventas!M3,0)</f>
        <v/>
      </c>
      <c r="G25" s="70" t="n"/>
      <c r="H25" s="70" t="n"/>
      <c r="I25" s="183">
        <f>IFERROR(Ctas_Cobrar!L3/(Ventas!M3/30),0)</f>
        <v/>
      </c>
      <c r="N25" s="70" t="n"/>
      <c r="O25" s="70" t="n"/>
      <c r="P25" s="70" t="n"/>
    </row>
    <row r="26" ht="13" customHeight="1" s="22">
      <c r="A26" s="70" t="n"/>
      <c r="B26" s="184" t="inlineStr">
        <is>
          <t>Cuánto queda de cada peso de venta</t>
        </is>
      </c>
      <c r="G26" s="70" t="n"/>
      <c r="H26" s="70" t="n"/>
      <c r="I26" s="184" t="inlineStr">
        <is>
          <t>Días promedio para cobrar</t>
        </is>
      </c>
      <c r="N26" s="70" t="n"/>
      <c r="O26" s="70" t="n"/>
      <c r="P26" s="70" t="n"/>
    </row>
    <row r="27" ht="3" customHeight="1" s="22">
      <c r="A27" s="70" t="n"/>
      <c r="B27" s="179" t="n"/>
      <c r="C27" s="179" t="n"/>
      <c r="D27" s="179" t="n"/>
      <c r="E27" s="179" t="n"/>
      <c r="F27" s="179" t="n"/>
      <c r="G27" s="70" t="n"/>
      <c r="H27" s="70" t="n"/>
      <c r="I27" s="179" t="n"/>
      <c r="J27" s="179" t="n"/>
      <c r="K27" s="179" t="n"/>
      <c r="L27" s="179" t="n"/>
      <c r="M27" s="179" t="n"/>
      <c r="N27" s="70" t="n"/>
      <c r="O27" s="70" t="n"/>
      <c r="P27" s="70" t="n"/>
    </row>
    <row r="28" ht="14" customHeight="1" s="22">
      <c r="A28" s="70" t="n"/>
      <c r="B28" s="181" t="inlineStr">
        <is>
          <t>ROTACIÓN CXP (DÍAS)</t>
        </is>
      </c>
      <c r="G28" s="70" t="n"/>
      <c r="H28" s="70" t="n"/>
      <c r="I28" s="181" t="inlineStr">
        <is>
          <t>COBERTURA DE DEUDA</t>
        </is>
      </c>
      <c r="N28" s="70" t="n"/>
      <c r="O28" s="70" t="n"/>
      <c r="P28" s="70" t="n"/>
    </row>
    <row r="29" ht="22" customHeight="1" s="22">
      <c r="A29" s="70" t="n"/>
      <c r="B29" s="183">
        <f>IFERROR(Ctas_Pagar!K3/(Compras!L3/30),0)</f>
        <v/>
      </c>
      <c r="G29" s="70" t="n"/>
      <c r="H29" s="70" t="n"/>
      <c r="I29" s="185">
        <f>IFERROR(Caja!Q6/Ctas_Pagar!K3,0)</f>
        <v/>
      </c>
      <c r="N29" s="70" t="n"/>
      <c r="O29" s="70" t="n"/>
      <c r="P29" s="70" t="n"/>
    </row>
    <row r="30" ht="13" customHeight="1" s="22">
      <c r="A30" s="70" t="n"/>
      <c r="B30" s="184" t="inlineStr">
        <is>
          <t>Días promedio para pagar</t>
        </is>
      </c>
      <c r="G30" s="70" t="n"/>
      <c r="H30" s="70" t="n"/>
      <c r="I30" s="184" t="inlineStr">
        <is>
          <t>Cuántas veces cubre la caja las CxP</t>
        </is>
      </c>
      <c r="N30" s="70" t="n"/>
      <c r="O30" s="70" t="n"/>
      <c r="P30" s="70" t="n"/>
    </row>
    <row r="31" ht="3" customHeight="1" s="22">
      <c r="A31" s="70" t="n"/>
      <c r="B31" s="179" t="n"/>
      <c r="C31" s="179" t="n"/>
      <c r="D31" s="179" t="n"/>
      <c r="E31" s="179" t="n"/>
      <c r="F31" s="179" t="n"/>
      <c r="G31" s="70" t="n"/>
      <c r="H31" s="70" t="n"/>
      <c r="I31" s="179" t="n"/>
      <c r="J31" s="179" t="n"/>
      <c r="K31" s="179" t="n"/>
      <c r="L31" s="179" t="n"/>
      <c r="M31" s="179" t="n"/>
      <c r="N31" s="70" t="n"/>
      <c r="O31" s="70" t="n"/>
      <c r="P31" s="70" t="n"/>
    </row>
    <row r="32" ht="14" customHeight="1" s="22">
      <c r="A32" s="70" t="n"/>
      <c r="B32" s="181" t="inlineStr">
        <is>
          <t>% VENTAS COBRADAS</t>
        </is>
      </c>
      <c r="G32" s="70" t="n"/>
      <c r="H32" s="70" t="n"/>
      <c r="I32" s="181" t="inlineStr">
        <is>
          <t>RESULTADO S/ VENTAS</t>
        </is>
      </c>
      <c r="N32" s="70" t="n"/>
      <c r="O32" s="70" t="n"/>
      <c r="P32" s="70" t="n"/>
    </row>
    <row r="33" ht="22" customHeight="1" s="22">
      <c r="A33" s="70" t="n"/>
      <c r="B33" s="182">
        <f>IFERROR(1-Ctas_Cobrar!L3/Ventas!M3,0)</f>
        <v/>
      </c>
      <c r="G33" s="70" t="n"/>
      <c r="H33" s="70" t="n"/>
      <c r="I33" s="182">
        <f>IFERROR(Contabilidad!L3/Ventas!M3,0)</f>
        <v/>
      </c>
      <c r="N33" s="70" t="n"/>
      <c r="O33" s="70" t="n"/>
      <c r="P33" s="70" t="n"/>
    </row>
    <row r="34" ht="13" customHeight="1" s="22">
      <c r="A34" s="70" t="n"/>
      <c r="B34" s="184" t="inlineStr">
        <is>
          <t>Porcentaje ya cobrado del total vendido</t>
        </is>
      </c>
      <c r="G34" s="70" t="n"/>
      <c r="H34" s="70" t="n"/>
      <c r="I34" s="184" t="inlineStr">
        <is>
          <t>Rentabilidad neta sobre ventas</t>
        </is>
      </c>
      <c r="N34" s="70" t="n"/>
      <c r="O34" s="70" t="n"/>
      <c r="P34" s="70" t="n"/>
    </row>
    <row r="35" ht="3" customHeight="1" s="22">
      <c r="A35" s="70" t="n"/>
      <c r="B35" s="179" t="n"/>
      <c r="C35" s="179" t="n"/>
      <c r="D35" s="179" t="n"/>
      <c r="E35" s="179" t="n"/>
      <c r="F35" s="179" t="n"/>
      <c r="G35" s="70" t="n"/>
      <c r="H35" s="70" t="n"/>
      <c r="I35" s="179" t="n"/>
      <c r="J35" s="179" t="n"/>
      <c r="K35" s="179" t="n"/>
      <c r="L35" s="179" t="n"/>
      <c r="M35" s="179" t="n"/>
      <c r="N35" s="70" t="n"/>
      <c r="O35" s="70" t="n"/>
      <c r="P35" s="70" t="n"/>
    </row>
    <row r="36">
      <c r="A36" s="70" t="n"/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/>
    </row>
    <row r="37">
      <c r="A37" s="70" t="n"/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/>
    </row>
    <row r="38" ht="22" customHeight="1" s="22">
      <c r="A38" s="179" t="n"/>
      <c r="B38" s="180" t="inlineStr">
        <is>
          <t>ANÁLISIS AUTOMÁTICO</t>
        </is>
      </c>
    </row>
    <row r="39" ht="18" customHeight="1" s="22">
      <c r="A39" s="70" t="n"/>
      <c r="B39" s="186">
        <f>IF(Ventas!M3&gt;Compras!L3,"✅ Ventas superan a Compras en $"&amp;TEXT(Ventas!M3-Compras!L3,"#,##0")&amp;" — resultado positivo del período.","⚠️ Compras superan a Ventas en $"&amp;TEXT(Compras!L3-Ventas!M3,"#,##0")&amp;" — revisar márgenes.")</f>
        <v/>
      </c>
    </row>
    <row r="40" ht="18" customHeight="1" s="22">
      <c r="A40" s="70" t="n"/>
      <c r="B40" s="187">
        <f>IF(Ctas_Cobrar!L3=0,"✅ Sin cuentas por cobrar pendientes — cartera al día.","📥 Cartera pendiente de $"&amp;TEXT(Ctas_Cobrar!L3,"#,##0")&amp;". Gestionar cobros prioritariamente.")</f>
        <v/>
      </c>
    </row>
    <row r="41" ht="18" customHeight="1" s="22">
      <c r="A41" s="70" t="n"/>
      <c r="B41" s="186">
        <f>IF(Ctas_Pagar!K3=0,"✅ Sin obligaciones de pago pendientes.","📤 Compromisos por pagar: $"&amp;TEXT(Ctas_Pagar!K3,"#,##0")&amp;". Verificar disponibilidad en caja.")</f>
        <v/>
      </c>
    </row>
    <row r="42" ht="18" customHeight="1" s="22">
      <c r="A42" s="70" t="n"/>
      <c r="B42" s="187">
        <f>IF(Caja!Q6&gt;Ctas_Pagar!K3,"✅ Caja cubre todas las obligaciones pendientes.","🔴 Caja insuficiente para cubrir las CxP. Déficit de $"&amp;TEXT(ABS(Caja!Q6-Ctas_Pagar!K3),"#,##0")&amp;".")</f>
        <v/>
      </c>
    </row>
    <row r="43">
      <c r="A43" s="70" t="n"/>
      <c r="B43" s="70" t="n"/>
      <c r="C43" s="70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</row>
    <row r="44">
      <c r="A44" s="70" t="n"/>
      <c r="B44" s="70" t="n"/>
      <c r="C44" s="70" t="n"/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  <c r="P44" s="70" t="n"/>
    </row>
    <row r="45">
      <c r="A45" s="70" t="n"/>
      <c r="B45" s="70" t="n"/>
      <c r="C45" s="70" t="n"/>
      <c r="D45" s="70" t="n"/>
      <c r="E45" s="70" t="n"/>
      <c r="F45" s="70" t="n"/>
      <c r="G45" s="70" t="n"/>
      <c r="H45" s="70" t="n"/>
      <c r="I45" s="70" t="n"/>
      <c r="J45" s="70" t="n"/>
      <c r="K45" s="70" t="n"/>
      <c r="L45" s="70" t="n"/>
      <c r="M45" s="70" t="n"/>
      <c r="N45" s="70" t="n"/>
      <c r="O45" s="70" t="n"/>
      <c r="P45" s="70" t="n"/>
    </row>
    <row r="46">
      <c r="A46" s="70" t="n"/>
      <c r="B46" s="70" t="n"/>
      <c r="C46" s="70" t="n"/>
      <c r="D46" s="70" t="n"/>
      <c r="E46" s="70" t="n"/>
      <c r="F46" s="70" t="n"/>
      <c r="G46" s="70" t="n"/>
      <c r="H46" s="70" t="n"/>
      <c r="I46" s="70" t="n"/>
      <c r="J46" s="70" t="n"/>
      <c r="K46" s="70" t="n"/>
      <c r="L46" s="70" t="n"/>
      <c r="M46" s="70" t="n"/>
      <c r="N46" s="70" t="n"/>
      <c r="O46" s="70" t="n"/>
      <c r="P46" s="70" t="n"/>
    </row>
    <row r="47">
      <c r="A47" s="70" t="n"/>
      <c r="B47" s="70" t="n"/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</row>
    <row r="48">
      <c r="A48" s="70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0" t="n"/>
      <c r="O48" s="70" t="n"/>
      <c r="P48" s="70" t="n"/>
    </row>
    <row r="49">
      <c r="A49" s="70" t="n"/>
      <c r="B49" s="70" t="n"/>
      <c r="C49" s="70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0" t="n"/>
      <c r="M49" s="70" t="n"/>
      <c r="N49" s="70" t="n"/>
      <c r="O49" s="70" t="n"/>
      <c r="P49" s="70" t="n"/>
    </row>
    <row r="50">
      <c r="A50" s="70" t="n"/>
      <c r="B50" s="70" t="n"/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</row>
    <row r="51">
      <c r="A51" s="70" t="n"/>
      <c r="B51" s="70" t="n"/>
      <c r="C51" s="70" t="n"/>
      <c r="D51" s="70" t="n"/>
      <c r="E51" s="70" t="n"/>
      <c r="F51" s="70" t="n"/>
      <c r="G51" s="70" t="n"/>
      <c r="H51" s="70" t="n"/>
      <c r="I51" s="70" t="n"/>
      <c r="J51" s="70" t="n"/>
      <c r="K51" s="70" t="n"/>
      <c r="L51" s="70" t="n"/>
      <c r="M51" s="70" t="n"/>
      <c r="N51" s="70" t="n"/>
      <c r="O51" s="70" t="n"/>
      <c r="P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70" t="n"/>
    </row>
    <row r="54">
      <c r="A54" s="70" t="n"/>
      <c r="B54" s="70" t="n"/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</row>
  </sheetData>
  <mergeCells count="24">
    <mergeCell ref="B39:P39"/>
    <mergeCell ref="I30:M30"/>
    <mergeCell ref="B42:P42"/>
    <mergeCell ref="B25:F25"/>
    <mergeCell ref="I26:M26"/>
    <mergeCell ref="B38:P38"/>
    <mergeCell ref="I25:M25"/>
    <mergeCell ref="I32:M32"/>
    <mergeCell ref="I28:M28"/>
    <mergeCell ref="B40:P40"/>
    <mergeCell ref="B29:F29"/>
    <mergeCell ref="B34:F34"/>
    <mergeCell ref="B28:F28"/>
    <mergeCell ref="I24:M24"/>
    <mergeCell ref="I33:M33"/>
    <mergeCell ref="B41:P41"/>
    <mergeCell ref="B30:F30"/>
    <mergeCell ref="B24:F24"/>
    <mergeCell ref="I29:M29"/>
    <mergeCell ref="B33:F33"/>
    <mergeCell ref="B22:P22"/>
    <mergeCell ref="B32:F32"/>
    <mergeCell ref="B26:F26"/>
    <mergeCell ref="I34:M34"/>
  </mergeCells>
  <pageMargins left="0.5" right="0.5" top="0.75" bottom="0.7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"/>
    </sheetView>
  </sheetViews>
  <sheetFormatPr baseColWidth="8" defaultRowHeight="15"/>
  <cols>
    <col width="9" customWidth="1" style="22" min="1" max="1"/>
    <col width="13" customWidth="1" style="22" min="2" max="2"/>
    <col width="26" customWidth="1" style="22" min="3" max="3"/>
    <col width="14" customWidth="1" style="22" min="4" max="4"/>
    <col width="14" customWidth="1" style="22" min="5" max="5"/>
    <col width="14" customWidth="1" style="22" min="6" max="6"/>
    <col width="13" customWidth="1" style="22" min="7" max="7"/>
    <col width="12" customWidth="1" style="22" min="8" max="8"/>
    <col width="11" customWidth="1" style="22" min="9" max="9"/>
    <col width="18" customWidth="1" style="22" min="10" max="10"/>
  </cols>
  <sheetData>
    <row r="1" ht="6" customHeight="1" s="22">
      <c r="A1" s="50" t="n"/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</row>
    <row r="2" ht="32" customHeight="1" s="22">
      <c r="A2" s="121" t="inlineStr">
        <is>
          <t>📅  AGENDA DE VENCIMIENTOS — Próximos 90 días</t>
        </is>
      </c>
      <c r="K2" s="50" t="n"/>
      <c r="L2" s="50" t="n"/>
      <c r="M2" s="50" t="n"/>
      <c r="N2" s="50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</row>
    <row r="4" ht="6" customHeight="1" s="22"/>
    <row r="5" ht="22" customHeight="1" s="22">
      <c r="A5" s="122" t="inlineStr">
        <is>
          <t xml:space="preserve">  📥  COBROS PENDIENTES (desde Cuentas por Cobrar)</t>
        </is>
      </c>
    </row>
    <row r="6" ht="22" customHeight="1" s="22">
      <c r="A6" s="123" t="inlineStr">
        <is>
          <t>N° Doc</t>
        </is>
      </c>
      <c r="B6" s="123" t="inlineStr">
        <is>
          <t>Fecha</t>
        </is>
      </c>
      <c r="C6" s="123" t="inlineStr">
        <is>
          <t>Cliente</t>
        </is>
      </c>
      <c r="D6" s="123" t="inlineStr">
        <is>
          <t>Importe</t>
        </is>
      </c>
      <c r="E6" s="123" t="inlineStr">
        <is>
          <t>Cobrado</t>
        </is>
      </c>
      <c r="F6" s="123" t="inlineStr">
        <is>
          <t>Saldo</t>
        </is>
      </c>
      <c r="G6" s="123" t="inlineStr">
        <is>
          <t>Vencimiento</t>
        </is>
      </c>
      <c r="H6" s="123" t="inlineStr">
        <is>
          <t>Estado</t>
        </is>
      </c>
      <c r="I6" s="123" t="inlineStr">
        <is>
          <t>Días Atraso</t>
        </is>
      </c>
      <c r="J6" s="123" t="inlineStr">
        <is>
          <t>Alerta</t>
        </is>
      </c>
    </row>
    <row r="7" ht="16" customHeight="1" s="22">
      <c r="A7" s="124">
        <f>IF(Ctas_Cobrar!A5="","",Ctas_Cobrar!A5)</f>
        <v/>
      </c>
      <c r="B7" s="125">
        <f>IF(Ctas_Cobrar!B5="","",Ctas_Cobrar!B5)</f>
        <v/>
      </c>
      <c r="C7" s="124">
        <f>IF(Ctas_Cobrar!C5="","",Ctas_Cobrar!C5)</f>
        <v/>
      </c>
      <c r="D7" s="188">
        <f>IF(Ctas_Cobrar!D5="","",Ctas_Cobrar!D5)</f>
        <v/>
      </c>
      <c r="E7" s="188">
        <f>IF(Ctas_Cobrar!E5="","",Ctas_Cobrar!E5)</f>
        <v/>
      </c>
      <c r="F7" s="188">
        <f>IF(Ctas_Cobrar!F5="","",Ctas_Cobrar!F5)</f>
        <v/>
      </c>
      <c r="G7" s="125">
        <f>IF(Ctas_Cobrar!G5="","",Ctas_Cobrar!G5)</f>
        <v/>
      </c>
      <c r="H7" s="124">
        <f>IF(Ctas_Cobrar!H5="","",Ctas_Cobrar!H5)</f>
        <v/>
      </c>
      <c r="I7" s="124">
        <f>IF(Ctas_Cobrar!I5="","",Ctas_Cobrar!I5)</f>
        <v/>
      </c>
      <c r="J7" s="124">
        <f>IF(Ctas_Cobrar!L5="","",Ctas_Cobrar!L5)</f>
        <v/>
      </c>
    </row>
    <row r="8" ht="16" customHeight="1" s="22">
      <c r="A8" s="127">
        <f>IF(Ctas_Cobrar!A6="","",Ctas_Cobrar!A6)</f>
        <v/>
      </c>
      <c r="B8" s="128">
        <f>IF(Ctas_Cobrar!B6="","",Ctas_Cobrar!B6)</f>
        <v/>
      </c>
      <c r="C8" s="127">
        <f>IF(Ctas_Cobrar!C6="","",Ctas_Cobrar!C6)</f>
        <v/>
      </c>
      <c r="D8" s="189">
        <f>IF(Ctas_Cobrar!D6="","",Ctas_Cobrar!D6)</f>
        <v/>
      </c>
      <c r="E8" s="189">
        <f>IF(Ctas_Cobrar!E6="","",Ctas_Cobrar!E6)</f>
        <v/>
      </c>
      <c r="F8" s="189">
        <f>IF(Ctas_Cobrar!F6="","",Ctas_Cobrar!F6)</f>
        <v/>
      </c>
      <c r="G8" s="128">
        <f>IF(Ctas_Cobrar!G6="","",Ctas_Cobrar!G6)</f>
        <v/>
      </c>
      <c r="H8" s="127">
        <f>IF(Ctas_Cobrar!H6="","",Ctas_Cobrar!H6)</f>
        <v/>
      </c>
      <c r="I8" s="127">
        <f>IF(Ctas_Cobrar!I6="","",Ctas_Cobrar!I6)</f>
        <v/>
      </c>
      <c r="J8" s="127">
        <f>IF(Ctas_Cobrar!L6="","",Ctas_Cobrar!L6)</f>
        <v/>
      </c>
    </row>
    <row r="9" ht="16" customHeight="1" s="22">
      <c r="A9" s="124">
        <f>IF(Ctas_Cobrar!A7="","",Ctas_Cobrar!A7)</f>
        <v/>
      </c>
      <c r="B9" s="125">
        <f>IF(Ctas_Cobrar!B7="","",Ctas_Cobrar!B7)</f>
        <v/>
      </c>
      <c r="C9" s="124">
        <f>IF(Ctas_Cobrar!C7="","",Ctas_Cobrar!C7)</f>
        <v/>
      </c>
      <c r="D9" s="188">
        <f>IF(Ctas_Cobrar!D7="","",Ctas_Cobrar!D7)</f>
        <v/>
      </c>
      <c r="E9" s="188">
        <f>IF(Ctas_Cobrar!E7="","",Ctas_Cobrar!E7)</f>
        <v/>
      </c>
      <c r="F9" s="188">
        <f>IF(Ctas_Cobrar!F7="","",Ctas_Cobrar!F7)</f>
        <v/>
      </c>
      <c r="G9" s="125">
        <f>IF(Ctas_Cobrar!G7="","",Ctas_Cobrar!G7)</f>
        <v/>
      </c>
      <c r="H9" s="124">
        <f>IF(Ctas_Cobrar!H7="","",Ctas_Cobrar!H7)</f>
        <v/>
      </c>
      <c r="I9" s="124">
        <f>IF(Ctas_Cobrar!I7="","",Ctas_Cobrar!I7)</f>
        <v/>
      </c>
      <c r="J9" s="124">
        <f>IF(Ctas_Cobrar!L7="","",Ctas_Cobrar!L7)</f>
        <v/>
      </c>
    </row>
    <row r="10" ht="16" customHeight="1" s="22">
      <c r="A10" s="127">
        <f>IF(Ctas_Cobrar!A8="","",Ctas_Cobrar!A8)</f>
        <v/>
      </c>
      <c r="B10" s="128">
        <f>IF(Ctas_Cobrar!B8="","",Ctas_Cobrar!B8)</f>
        <v/>
      </c>
      <c r="C10" s="127">
        <f>IF(Ctas_Cobrar!C8="","",Ctas_Cobrar!C8)</f>
        <v/>
      </c>
      <c r="D10" s="189">
        <f>IF(Ctas_Cobrar!D8="","",Ctas_Cobrar!D8)</f>
        <v/>
      </c>
      <c r="E10" s="189">
        <f>IF(Ctas_Cobrar!E8="","",Ctas_Cobrar!E8)</f>
        <v/>
      </c>
      <c r="F10" s="189">
        <f>IF(Ctas_Cobrar!F8="","",Ctas_Cobrar!F8)</f>
        <v/>
      </c>
      <c r="G10" s="128">
        <f>IF(Ctas_Cobrar!G8="","",Ctas_Cobrar!G8)</f>
        <v/>
      </c>
      <c r="H10" s="127">
        <f>IF(Ctas_Cobrar!H8="","",Ctas_Cobrar!H8)</f>
        <v/>
      </c>
      <c r="I10" s="127">
        <f>IF(Ctas_Cobrar!I8="","",Ctas_Cobrar!I8)</f>
        <v/>
      </c>
      <c r="J10" s="127">
        <f>IF(Ctas_Cobrar!L8="","",Ctas_Cobrar!L8)</f>
        <v/>
      </c>
    </row>
    <row r="11" ht="16" customHeight="1" s="22">
      <c r="A11" s="124">
        <f>IF(Ctas_Cobrar!A9="","",Ctas_Cobrar!A9)</f>
        <v/>
      </c>
      <c r="B11" s="125">
        <f>IF(Ctas_Cobrar!B9="","",Ctas_Cobrar!B9)</f>
        <v/>
      </c>
      <c r="C11" s="124">
        <f>IF(Ctas_Cobrar!C9="","",Ctas_Cobrar!C9)</f>
        <v/>
      </c>
      <c r="D11" s="188">
        <f>IF(Ctas_Cobrar!D9="","",Ctas_Cobrar!D9)</f>
        <v/>
      </c>
      <c r="E11" s="188">
        <f>IF(Ctas_Cobrar!E9="","",Ctas_Cobrar!E9)</f>
        <v/>
      </c>
      <c r="F11" s="188">
        <f>IF(Ctas_Cobrar!F9="","",Ctas_Cobrar!F9)</f>
        <v/>
      </c>
      <c r="G11" s="125">
        <f>IF(Ctas_Cobrar!G9="","",Ctas_Cobrar!G9)</f>
        <v/>
      </c>
      <c r="H11" s="124">
        <f>IF(Ctas_Cobrar!H9="","",Ctas_Cobrar!H9)</f>
        <v/>
      </c>
      <c r="I11" s="124">
        <f>IF(Ctas_Cobrar!I9="","",Ctas_Cobrar!I9)</f>
        <v/>
      </c>
      <c r="J11" s="124">
        <f>IF(Ctas_Cobrar!L9="","",Ctas_Cobrar!L9)</f>
        <v/>
      </c>
    </row>
    <row r="12" ht="16" customHeight="1" s="22">
      <c r="A12" s="127">
        <f>IF(Ctas_Cobrar!A10="","",Ctas_Cobrar!A10)</f>
        <v/>
      </c>
      <c r="B12" s="128">
        <f>IF(Ctas_Cobrar!B10="","",Ctas_Cobrar!B10)</f>
        <v/>
      </c>
      <c r="C12" s="127">
        <f>IF(Ctas_Cobrar!C10="","",Ctas_Cobrar!C10)</f>
        <v/>
      </c>
      <c r="D12" s="189">
        <f>IF(Ctas_Cobrar!D10="","",Ctas_Cobrar!D10)</f>
        <v/>
      </c>
      <c r="E12" s="189">
        <f>IF(Ctas_Cobrar!E10="","",Ctas_Cobrar!E10)</f>
        <v/>
      </c>
      <c r="F12" s="189">
        <f>IF(Ctas_Cobrar!F10="","",Ctas_Cobrar!F10)</f>
        <v/>
      </c>
      <c r="G12" s="128">
        <f>IF(Ctas_Cobrar!G10="","",Ctas_Cobrar!G10)</f>
        <v/>
      </c>
      <c r="H12" s="127">
        <f>IF(Ctas_Cobrar!H10="","",Ctas_Cobrar!H10)</f>
        <v/>
      </c>
      <c r="I12" s="127">
        <f>IF(Ctas_Cobrar!I10="","",Ctas_Cobrar!I10)</f>
        <v/>
      </c>
      <c r="J12" s="127">
        <f>IF(Ctas_Cobrar!L10="","",Ctas_Cobrar!L10)</f>
        <v/>
      </c>
    </row>
    <row r="13" ht="16" customHeight="1" s="22">
      <c r="A13" s="124">
        <f>IF(Ctas_Cobrar!A11="","",Ctas_Cobrar!A11)</f>
        <v/>
      </c>
      <c r="B13" s="125">
        <f>IF(Ctas_Cobrar!B11="","",Ctas_Cobrar!B11)</f>
        <v/>
      </c>
      <c r="C13" s="124">
        <f>IF(Ctas_Cobrar!C11="","",Ctas_Cobrar!C11)</f>
        <v/>
      </c>
      <c r="D13" s="188">
        <f>IF(Ctas_Cobrar!D11="","",Ctas_Cobrar!D11)</f>
        <v/>
      </c>
      <c r="E13" s="188">
        <f>IF(Ctas_Cobrar!E11="","",Ctas_Cobrar!E11)</f>
        <v/>
      </c>
      <c r="F13" s="188">
        <f>IF(Ctas_Cobrar!F11="","",Ctas_Cobrar!F11)</f>
        <v/>
      </c>
      <c r="G13" s="125">
        <f>IF(Ctas_Cobrar!G11="","",Ctas_Cobrar!G11)</f>
        <v/>
      </c>
      <c r="H13" s="124">
        <f>IF(Ctas_Cobrar!H11="","",Ctas_Cobrar!H11)</f>
        <v/>
      </c>
      <c r="I13" s="124">
        <f>IF(Ctas_Cobrar!I11="","",Ctas_Cobrar!I11)</f>
        <v/>
      </c>
      <c r="J13" s="124">
        <f>IF(Ctas_Cobrar!L11="","",Ctas_Cobrar!L11)</f>
        <v/>
      </c>
    </row>
    <row r="14" ht="16" customHeight="1" s="22">
      <c r="A14" s="127">
        <f>IF(Ctas_Cobrar!A12="","",Ctas_Cobrar!A12)</f>
        <v/>
      </c>
      <c r="B14" s="128">
        <f>IF(Ctas_Cobrar!B12="","",Ctas_Cobrar!B12)</f>
        <v/>
      </c>
      <c r="C14" s="127">
        <f>IF(Ctas_Cobrar!C12="","",Ctas_Cobrar!C12)</f>
        <v/>
      </c>
      <c r="D14" s="189">
        <f>IF(Ctas_Cobrar!D12="","",Ctas_Cobrar!D12)</f>
        <v/>
      </c>
      <c r="E14" s="189">
        <f>IF(Ctas_Cobrar!E12="","",Ctas_Cobrar!E12)</f>
        <v/>
      </c>
      <c r="F14" s="189">
        <f>IF(Ctas_Cobrar!F12="","",Ctas_Cobrar!F12)</f>
        <v/>
      </c>
      <c r="G14" s="128">
        <f>IF(Ctas_Cobrar!G12="","",Ctas_Cobrar!G12)</f>
        <v/>
      </c>
      <c r="H14" s="127">
        <f>IF(Ctas_Cobrar!H12="","",Ctas_Cobrar!H12)</f>
        <v/>
      </c>
      <c r="I14" s="127">
        <f>IF(Ctas_Cobrar!I12="","",Ctas_Cobrar!I12)</f>
        <v/>
      </c>
      <c r="J14" s="127">
        <f>IF(Ctas_Cobrar!L12="","",Ctas_Cobrar!L12)</f>
        <v/>
      </c>
    </row>
    <row r="15" ht="16" customHeight="1" s="22">
      <c r="A15" s="124">
        <f>IF(Ctas_Cobrar!A13="","",Ctas_Cobrar!A13)</f>
        <v/>
      </c>
      <c r="B15" s="125">
        <f>IF(Ctas_Cobrar!B13="","",Ctas_Cobrar!B13)</f>
        <v/>
      </c>
      <c r="C15" s="124">
        <f>IF(Ctas_Cobrar!C13="","",Ctas_Cobrar!C13)</f>
        <v/>
      </c>
      <c r="D15" s="188">
        <f>IF(Ctas_Cobrar!D13="","",Ctas_Cobrar!D13)</f>
        <v/>
      </c>
      <c r="E15" s="188">
        <f>IF(Ctas_Cobrar!E13="","",Ctas_Cobrar!E13)</f>
        <v/>
      </c>
      <c r="F15" s="188">
        <f>IF(Ctas_Cobrar!F13="","",Ctas_Cobrar!F13)</f>
        <v/>
      </c>
      <c r="G15" s="125">
        <f>IF(Ctas_Cobrar!G13="","",Ctas_Cobrar!G13)</f>
        <v/>
      </c>
      <c r="H15" s="124">
        <f>IF(Ctas_Cobrar!H13="","",Ctas_Cobrar!H13)</f>
        <v/>
      </c>
      <c r="I15" s="124">
        <f>IF(Ctas_Cobrar!I13="","",Ctas_Cobrar!I13)</f>
        <v/>
      </c>
      <c r="J15" s="124">
        <f>IF(Ctas_Cobrar!L13="","",Ctas_Cobrar!L13)</f>
        <v/>
      </c>
    </row>
    <row r="16" ht="16" customHeight="1" s="22">
      <c r="A16" s="127">
        <f>IF(Ctas_Cobrar!A14="","",Ctas_Cobrar!A14)</f>
        <v/>
      </c>
      <c r="B16" s="128">
        <f>IF(Ctas_Cobrar!B14="","",Ctas_Cobrar!B14)</f>
        <v/>
      </c>
      <c r="C16" s="127">
        <f>IF(Ctas_Cobrar!C14="","",Ctas_Cobrar!C14)</f>
        <v/>
      </c>
      <c r="D16" s="189">
        <f>IF(Ctas_Cobrar!D14="","",Ctas_Cobrar!D14)</f>
        <v/>
      </c>
      <c r="E16" s="189">
        <f>IF(Ctas_Cobrar!E14="","",Ctas_Cobrar!E14)</f>
        <v/>
      </c>
      <c r="F16" s="189">
        <f>IF(Ctas_Cobrar!F14="","",Ctas_Cobrar!F14)</f>
        <v/>
      </c>
      <c r="G16" s="128">
        <f>IF(Ctas_Cobrar!G14="","",Ctas_Cobrar!G14)</f>
        <v/>
      </c>
      <c r="H16" s="127">
        <f>IF(Ctas_Cobrar!H14="","",Ctas_Cobrar!H14)</f>
        <v/>
      </c>
      <c r="I16" s="127">
        <f>IF(Ctas_Cobrar!I14="","",Ctas_Cobrar!I14)</f>
        <v/>
      </c>
      <c r="J16" s="127">
        <f>IF(Ctas_Cobrar!L14="","",Ctas_Cobrar!L14)</f>
        <v/>
      </c>
    </row>
    <row r="17" ht="16" customHeight="1" s="22">
      <c r="A17" s="124">
        <f>IF(Ctas_Cobrar!A15="","",Ctas_Cobrar!A15)</f>
        <v/>
      </c>
      <c r="B17" s="125">
        <f>IF(Ctas_Cobrar!B15="","",Ctas_Cobrar!B15)</f>
        <v/>
      </c>
      <c r="C17" s="124">
        <f>IF(Ctas_Cobrar!C15="","",Ctas_Cobrar!C15)</f>
        <v/>
      </c>
      <c r="D17" s="188">
        <f>IF(Ctas_Cobrar!D15="","",Ctas_Cobrar!D15)</f>
        <v/>
      </c>
      <c r="E17" s="188">
        <f>IF(Ctas_Cobrar!E15="","",Ctas_Cobrar!E15)</f>
        <v/>
      </c>
      <c r="F17" s="188">
        <f>IF(Ctas_Cobrar!F15="","",Ctas_Cobrar!F15)</f>
        <v/>
      </c>
      <c r="G17" s="125">
        <f>IF(Ctas_Cobrar!G15="","",Ctas_Cobrar!G15)</f>
        <v/>
      </c>
      <c r="H17" s="124">
        <f>IF(Ctas_Cobrar!H15="","",Ctas_Cobrar!H15)</f>
        <v/>
      </c>
      <c r="I17" s="124">
        <f>IF(Ctas_Cobrar!I15="","",Ctas_Cobrar!I15)</f>
        <v/>
      </c>
      <c r="J17" s="124">
        <f>IF(Ctas_Cobrar!L15="","",Ctas_Cobrar!L15)</f>
        <v/>
      </c>
    </row>
    <row r="18" ht="16" customHeight="1" s="22">
      <c r="A18" s="127">
        <f>IF(Ctas_Cobrar!A16="","",Ctas_Cobrar!A16)</f>
        <v/>
      </c>
      <c r="B18" s="128">
        <f>IF(Ctas_Cobrar!B16="","",Ctas_Cobrar!B16)</f>
        <v/>
      </c>
      <c r="C18" s="127">
        <f>IF(Ctas_Cobrar!C16="","",Ctas_Cobrar!C16)</f>
        <v/>
      </c>
      <c r="D18" s="189">
        <f>IF(Ctas_Cobrar!D16="","",Ctas_Cobrar!D16)</f>
        <v/>
      </c>
      <c r="E18" s="189">
        <f>IF(Ctas_Cobrar!E16="","",Ctas_Cobrar!E16)</f>
        <v/>
      </c>
      <c r="F18" s="189">
        <f>IF(Ctas_Cobrar!F16="","",Ctas_Cobrar!F16)</f>
        <v/>
      </c>
      <c r="G18" s="128">
        <f>IF(Ctas_Cobrar!G16="","",Ctas_Cobrar!G16)</f>
        <v/>
      </c>
      <c r="H18" s="127">
        <f>IF(Ctas_Cobrar!H16="","",Ctas_Cobrar!H16)</f>
        <v/>
      </c>
      <c r="I18" s="127">
        <f>IF(Ctas_Cobrar!I16="","",Ctas_Cobrar!I16)</f>
        <v/>
      </c>
      <c r="J18" s="127">
        <f>IF(Ctas_Cobrar!L16="","",Ctas_Cobrar!L16)</f>
        <v/>
      </c>
    </row>
    <row r="19" hidden="1" ht="16" customHeight="1" s="22">
      <c r="A19" s="124">
        <f>IF(Ctas_Cobrar!A17="","",Ctas_Cobrar!A17)</f>
        <v/>
      </c>
      <c r="B19" s="125">
        <f>IF(Ctas_Cobrar!B17="","",Ctas_Cobrar!B17)</f>
        <v/>
      </c>
      <c r="C19" s="124">
        <f>IF(Ctas_Cobrar!C17="","",Ctas_Cobrar!C17)</f>
        <v/>
      </c>
      <c r="D19" s="188">
        <f>IF(Ctas_Cobrar!D17="","",Ctas_Cobrar!D17)</f>
        <v/>
      </c>
      <c r="E19" s="188">
        <f>IF(Ctas_Cobrar!E17="","",Ctas_Cobrar!E17)</f>
        <v/>
      </c>
      <c r="F19" s="188">
        <f>IF(Ctas_Cobrar!F17="","",Ctas_Cobrar!F17)</f>
        <v/>
      </c>
      <c r="G19" s="125">
        <f>IF(Ctas_Cobrar!G17="","",Ctas_Cobrar!G17)</f>
        <v/>
      </c>
      <c r="H19" s="124">
        <f>IF(Ctas_Cobrar!H17="","",Ctas_Cobrar!H17)</f>
        <v/>
      </c>
      <c r="I19" s="124">
        <f>IF(Ctas_Cobrar!I17="","",Ctas_Cobrar!I17)</f>
        <v/>
      </c>
      <c r="J19" s="124">
        <f>IF(Ctas_Cobrar!L17="","",Ctas_Cobrar!L17)</f>
        <v/>
      </c>
    </row>
    <row r="20" hidden="1" ht="16" customHeight="1" s="22">
      <c r="A20" s="127">
        <f>IF(Ctas_Cobrar!A18="","",Ctas_Cobrar!A18)</f>
        <v/>
      </c>
      <c r="B20" s="128">
        <f>IF(Ctas_Cobrar!B18="","",Ctas_Cobrar!B18)</f>
        <v/>
      </c>
      <c r="C20" s="127">
        <f>IF(Ctas_Cobrar!C18="","",Ctas_Cobrar!C18)</f>
        <v/>
      </c>
      <c r="D20" s="189">
        <f>IF(Ctas_Cobrar!D18="","",Ctas_Cobrar!D18)</f>
        <v/>
      </c>
      <c r="E20" s="189">
        <f>IF(Ctas_Cobrar!E18="","",Ctas_Cobrar!E18)</f>
        <v/>
      </c>
      <c r="F20" s="189">
        <f>IF(Ctas_Cobrar!F18="","",Ctas_Cobrar!F18)</f>
        <v/>
      </c>
      <c r="G20" s="128">
        <f>IF(Ctas_Cobrar!G18="","",Ctas_Cobrar!G18)</f>
        <v/>
      </c>
      <c r="H20" s="127">
        <f>IF(Ctas_Cobrar!H18="","",Ctas_Cobrar!H18)</f>
        <v/>
      </c>
      <c r="I20" s="127">
        <f>IF(Ctas_Cobrar!I18="","",Ctas_Cobrar!I18)</f>
        <v/>
      </c>
      <c r="J20" s="127">
        <f>IF(Ctas_Cobrar!L18="","",Ctas_Cobrar!L18)</f>
        <v/>
      </c>
    </row>
    <row r="21" hidden="1" ht="16" customHeight="1" s="22">
      <c r="A21" s="124">
        <f>IF(Ctas_Cobrar!A19="","",Ctas_Cobrar!A19)</f>
        <v/>
      </c>
      <c r="B21" s="125">
        <f>IF(Ctas_Cobrar!B19="","",Ctas_Cobrar!B19)</f>
        <v/>
      </c>
      <c r="C21" s="124">
        <f>IF(Ctas_Cobrar!C19="","",Ctas_Cobrar!C19)</f>
        <v/>
      </c>
      <c r="D21" s="188">
        <f>IF(Ctas_Cobrar!D19="","",Ctas_Cobrar!D19)</f>
        <v/>
      </c>
      <c r="E21" s="188">
        <f>IF(Ctas_Cobrar!E19="","",Ctas_Cobrar!E19)</f>
        <v/>
      </c>
      <c r="F21" s="188">
        <f>IF(Ctas_Cobrar!F19="","",Ctas_Cobrar!F19)</f>
        <v/>
      </c>
      <c r="G21" s="125">
        <f>IF(Ctas_Cobrar!G19="","",Ctas_Cobrar!G19)</f>
        <v/>
      </c>
      <c r="H21" s="124">
        <f>IF(Ctas_Cobrar!H19="","",Ctas_Cobrar!H19)</f>
        <v/>
      </c>
      <c r="I21" s="124">
        <f>IF(Ctas_Cobrar!I19="","",Ctas_Cobrar!I19)</f>
        <v/>
      </c>
      <c r="J21" s="124">
        <f>IF(Ctas_Cobrar!L19="","",Ctas_Cobrar!L19)</f>
        <v/>
      </c>
    </row>
    <row r="22" hidden="1" ht="16" customHeight="1" s="22">
      <c r="A22" s="127">
        <f>IF(Ctas_Cobrar!A20="","",Ctas_Cobrar!A20)</f>
        <v/>
      </c>
      <c r="B22" s="128">
        <f>IF(Ctas_Cobrar!B20="","",Ctas_Cobrar!B20)</f>
        <v/>
      </c>
      <c r="C22" s="127">
        <f>IF(Ctas_Cobrar!C20="","",Ctas_Cobrar!C20)</f>
        <v/>
      </c>
      <c r="D22" s="189">
        <f>IF(Ctas_Cobrar!D20="","",Ctas_Cobrar!D20)</f>
        <v/>
      </c>
      <c r="E22" s="189">
        <f>IF(Ctas_Cobrar!E20="","",Ctas_Cobrar!E20)</f>
        <v/>
      </c>
      <c r="F22" s="189">
        <f>IF(Ctas_Cobrar!F20="","",Ctas_Cobrar!F20)</f>
        <v/>
      </c>
      <c r="G22" s="128">
        <f>IF(Ctas_Cobrar!G20="","",Ctas_Cobrar!G20)</f>
        <v/>
      </c>
      <c r="H22" s="127">
        <f>IF(Ctas_Cobrar!H20="","",Ctas_Cobrar!H20)</f>
        <v/>
      </c>
      <c r="I22" s="127">
        <f>IF(Ctas_Cobrar!I20="","",Ctas_Cobrar!I20)</f>
        <v/>
      </c>
      <c r="J22" s="127">
        <f>IF(Ctas_Cobrar!L20="","",Ctas_Cobrar!L20)</f>
        <v/>
      </c>
    </row>
    <row r="23" hidden="1" ht="16" customHeight="1" s="22">
      <c r="A23" s="124">
        <f>IF(Ctas_Cobrar!A21="","",Ctas_Cobrar!A21)</f>
        <v/>
      </c>
      <c r="B23" s="125">
        <f>IF(Ctas_Cobrar!B21="","",Ctas_Cobrar!B21)</f>
        <v/>
      </c>
      <c r="C23" s="124">
        <f>IF(Ctas_Cobrar!C21="","",Ctas_Cobrar!C21)</f>
        <v/>
      </c>
      <c r="D23" s="188">
        <f>IF(Ctas_Cobrar!D21="","",Ctas_Cobrar!D21)</f>
        <v/>
      </c>
      <c r="E23" s="188">
        <f>IF(Ctas_Cobrar!E21="","",Ctas_Cobrar!E21)</f>
        <v/>
      </c>
      <c r="F23" s="188">
        <f>IF(Ctas_Cobrar!F21="","",Ctas_Cobrar!F21)</f>
        <v/>
      </c>
      <c r="G23" s="125">
        <f>IF(Ctas_Cobrar!G21="","",Ctas_Cobrar!G21)</f>
        <v/>
      </c>
      <c r="H23" s="124">
        <f>IF(Ctas_Cobrar!H21="","",Ctas_Cobrar!H21)</f>
        <v/>
      </c>
      <c r="I23" s="124">
        <f>IF(Ctas_Cobrar!I21="","",Ctas_Cobrar!I21)</f>
        <v/>
      </c>
      <c r="J23" s="124">
        <f>IF(Ctas_Cobrar!L21="","",Ctas_Cobrar!L21)</f>
        <v/>
      </c>
    </row>
    <row r="24" hidden="1" ht="16" customHeight="1" s="22">
      <c r="A24" s="127">
        <f>IF(Ctas_Cobrar!A22="","",Ctas_Cobrar!A22)</f>
        <v/>
      </c>
      <c r="B24" s="128">
        <f>IF(Ctas_Cobrar!B22="","",Ctas_Cobrar!B22)</f>
        <v/>
      </c>
      <c r="C24" s="127">
        <f>IF(Ctas_Cobrar!C22="","",Ctas_Cobrar!C22)</f>
        <v/>
      </c>
      <c r="D24" s="189">
        <f>IF(Ctas_Cobrar!D22="","",Ctas_Cobrar!D22)</f>
        <v/>
      </c>
      <c r="E24" s="189">
        <f>IF(Ctas_Cobrar!E22="","",Ctas_Cobrar!E22)</f>
        <v/>
      </c>
      <c r="F24" s="189">
        <f>IF(Ctas_Cobrar!F22="","",Ctas_Cobrar!F22)</f>
        <v/>
      </c>
      <c r="G24" s="128">
        <f>IF(Ctas_Cobrar!G22="","",Ctas_Cobrar!G22)</f>
        <v/>
      </c>
      <c r="H24" s="127">
        <f>IF(Ctas_Cobrar!H22="","",Ctas_Cobrar!H22)</f>
        <v/>
      </c>
      <c r="I24" s="127">
        <f>IF(Ctas_Cobrar!I22="","",Ctas_Cobrar!I22)</f>
        <v/>
      </c>
      <c r="J24" s="127">
        <f>IF(Ctas_Cobrar!L22="","",Ctas_Cobrar!L22)</f>
        <v/>
      </c>
    </row>
    <row r="25" hidden="1" ht="16" customHeight="1" s="22">
      <c r="A25" s="124">
        <f>IF(Ctas_Cobrar!A23="","",Ctas_Cobrar!A23)</f>
        <v/>
      </c>
      <c r="B25" s="125">
        <f>IF(Ctas_Cobrar!B23="","",Ctas_Cobrar!B23)</f>
        <v/>
      </c>
      <c r="C25" s="124">
        <f>IF(Ctas_Cobrar!C23="","",Ctas_Cobrar!C23)</f>
        <v/>
      </c>
      <c r="D25" s="188">
        <f>IF(Ctas_Cobrar!D23="","",Ctas_Cobrar!D23)</f>
        <v/>
      </c>
      <c r="E25" s="188">
        <f>IF(Ctas_Cobrar!E23="","",Ctas_Cobrar!E23)</f>
        <v/>
      </c>
      <c r="F25" s="188">
        <f>IF(Ctas_Cobrar!F23="","",Ctas_Cobrar!F23)</f>
        <v/>
      </c>
      <c r="G25" s="125">
        <f>IF(Ctas_Cobrar!G23="","",Ctas_Cobrar!G23)</f>
        <v/>
      </c>
      <c r="H25" s="124">
        <f>IF(Ctas_Cobrar!H23="","",Ctas_Cobrar!H23)</f>
        <v/>
      </c>
      <c r="I25" s="124">
        <f>IF(Ctas_Cobrar!I23="","",Ctas_Cobrar!I23)</f>
        <v/>
      </c>
      <c r="J25" s="124">
        <f>IF(Ctas_Cobrar!L23="","",Ctas_Cobrar!L23)</f>
        <v/>
      </c>
    </row>
    <row r="26" hidden="1" ht="16" customHeight="1" s="22">
      <c r="A26" s="127">
        <f>IF(Ctas_Cobrar!A24="","",Ctas_Cobrar!A24)</f>
        <v/>
      </c>
      <c r="B26" s="128">
        <f>IF(Ctas_Cobrar!B24="","",Ctas_Cobrar!B24)</f>
        <v/>
      </c>
      <c r="C26" s="127">
        <f>IF(Ctas_Cobrar!C24="","",Ctas_Cobrar!C24)</f>
        <v/>
      </c>
      <c r="D26" s="189">
        <f>IF(Ctas_Cobrar!D24="","",Ctas_Cobrar!D24)</f>
        <v/>
      </c>
      <c r="E26" s="189">
        <f>IF(Ctas_Cobrar!E24="","",Ctas_Cobrar!E24)</f>
        <v/>
      </c>
      <c r="F26" s="189">
        <f>IF(Ctas_Cobrar!F24="","",Ctas_Cobrar!F24)</f>
        <v/>
      </c>
      <c r="G26" s="128">
        <f>IF(Ctas_Cobrar!G24="","",Ctas_Cobrar!G24)</f>
        <v/>
      </c>
      <c r="H26" s="127">
        <f>IF(Ctas_Cobrar!H24="","",Ctas_Cobrar!H24)</f>
        <v/>
      </c>
      <c r="I26" s="127">
        <f>IF(Ctas_Cobrar!I24="","",Ctas_Cobrar!I24)</f>
        <v/>
      </c>
      <c r="J26" s="127">
        <f>IF(Ctas_Cobrar!L24="","",Ctas_Cobrar!L24)</f>
        <v/>
      </c>
    </row>
    <row r="27" hidden="1" ht="16" customHeight="1" s="22">
      <c r="A27" s="124">
        <f>IF(Ctas_Cobrar!A25="","",Ctas_Cobrar!A25)</f>
        <v/>
      </c>
      <c r="B27" s="125">
        <f>IF(Ctas_Cobrar!B25="","",Ctas_Cobrar!B25)</f>
        <v/>
      </c>
      <c r="C27" s="124">
        <f>IF(Ctas_Cobrar!C25="","",Ctas_Cobrar!C25)</f>
        <v/>
      </c>
      <c r="D27" s="188">
        <f>IF(Ctas_Cobrar!D25="","",Ctas_Cobrar!D25)</f>
        <v/>
      </c>
      <c r="E27" s="188">
        <f>IF(Ctas_Cobrar!E25="","",Ctas_Cobrar!E25)</f>
        <v/>
      </c>
      <c r="F27" s="188">
        <f>IF(Ctas_Cobrar!F25="","",Ctas_Cobrar!F25)</f>
        <v/>
      </c>
      <c r="G27" s="125">
        <f>IF(Ctas_Cobrar!G25="","",Ctas_Cobrar!G25)</f>
        <v/>
      </c>
      <c r="H27" s="124">
        <f>IF(Ctas_Cobrar!H25="","",Ctas_Cobrar!H25)</f>
        <v/>
      </c>
      <c r="I27" s="124">
        <f>IF(Ctas_Cobrar!I25="","",Ctas_Cobrar!I25)</f>
        <v/>
      </c>
      <c r="J27" s="124">
        <f>IF(Ctas_Cobrar!L25="","",Ctas_Cobrar!L25)</f>
        <v/>
      </c>
    </row>
    <row r="28" hidden="1" ht="16" customHeight="1" s="22">
      <c r="A28" s="127">
        <f>IF(Ctas_Cobrar!A26="","",Ctas_Cobrar!A26)</f>
        <v/>
      </c>
      <c r="B28" s="128">
        <f>IF(Ctas_Cobrar!B26="","",Ctas_Cobrar!B26)</f>
        <v/>
      </c>
      <c r="C28" s="127">
        <f>IF(Ctas_Cobrar!C26="","",Ctas_Cobrar!C26)</f>
        <v/>
      </c>
      <c r="D28" s="189">
        <f>IF(Ctas_Cobrar!D26="","",Ctas_Cobrar!D26)</f>
        <v/>
      </c>
      <c r="E28" s="189">
        <f>IF(Ctas_Cobrar!E26="","",Ctas_Cobrar!E26)</f>
        <v/>
      </c>
      <c r="F28" s="189">
        <f>IF(Ctas_Cobrar!F26="","",Ctas_Cobrar!F26)</f>
        <v/>
      </c>
      <c r="G28" s="128">
        <f>IF(Ctas_Cobrar!G26="","",Ctas_Cobrar!G26)</f>
        <v/>
      </c>
      <c r="H28" s="127">
        <f>IF(Ctas_Cobrar!H26="","",Ctas_Cobrar!H26)</f>
        <v/>
      </c>
      <c r="I28" s="127">
        <f>IF(Ctas_Cobrar!I26="","",Ctas_Cobrar!I26)</f>
        <v/>
      </c>
      <c r="J28" s="127">
        <f>IF(Ctas_Cobrar!L26="","",Ctas_Cobrar!L26)</f>
        <v/>
      </c>
    </row>
    <row r="29" hidden="1" ht="16" customHeight="1" s="22">
      <c r="A29" s="124">
        <f>IF(Ctas_Cobrar!A27="","",Ctas_Cobrar!A27)</f>
        <v/>
      </c>
      <c r="B29" s="125">
        <f>IF(Ctas_Cobrar!B27="","",Ctas_Cobrar!B27)</f>
        <v/>
      </c>
      <c r="C29" s="124">
        <f>IF(Ctas_Cobrar!C27="","",Ctas_Cobrar!C27)</f>
        <v/>
      </c>
      <c r="D29" s="188">
        <f>IF(Ctas_Cobrar!D27="","",Ctas_Cobrar!D27)</f>
        <v/>
      </c>
      <c r="E29" s="188">
        <f>IF(Ctas_Cobrar!E27="","",Ctas_Cobrar!E27)</f>
        <v/>
      </c>
      <c r="F29" s="188">
        <f>IF(Ctas_Cobrar!F27="","",Ctas_Cobrar!F27)</f>
        <v/>
      </c>
      <c r="G29" s="125">
        <f>IF(Ctas_Cobrar!G27="","",Ctas_Cobrar!G27)</f>
        <v/>
      </c>
      <c r="H29" s="124">
        <f>IF(Ctas_Cobrar!H27="","",Ctas_Cobrar!H27)</f>
        <v/>
      </c>
      <c r="I29" s="124">
        <f>IF(Ctas_Cobrar!I27="","",Ctas_Cobrar!I27)</f>
        <v/>
      </c>
      <c r="J29" s="124">
        <f>IF(Ctas_Cobrar!L27="","",Ctas_Cobrar!L27)</f>
        <v/>
      </c>
    </row>
    <row r="30" hidden="1" ht="16" customHeight="1" s="22">
      <c r="A30" s="127">
        <f>IF(Ctas_Cobrar!A28="","",Ctas_Cobrar!A28)</f>
        <v/>
      </c>
      <c r="B30" s="128">
        <f>IF(Ctas_Cobrar!B28="","",Ctas_Cobrar!B28)</f>
        <v/>
      </c>
      <c r="C30" s="127">
        <f>IF(Ctas_Cobrar!C28="","",Ctas_Cobrar!C28)</f>
        <v/>
      </c>
      <c r="D30" s="189">
        <f>IF(Ctas_Cobrar!D28="","",Ctas_Cobrar!D28)</f>
        <v/>
      </c>
      <c r="E30" s="189">
        <f>IF(Ctas_Cobrar!E28="","",Ctas_Cobrar!E28)</f>
        <v/>
      </c>
      <c r="F30" s="189">
        <f>IF(Ctas_Cobrar!F28="","",Ctas_Cobrar!F28)</f>
        <v/>
      </c>
      <c r="G30" s="128">
        <f>IF(Ctas_Cobrar!G28="","",Ctas_Cobrar!G28)</f>
        <v/>
      </c>
      <c r="H30" s="127">
        <f>IF(Ctas_Cobrar!H28="","",Ctas_Cobrar!H28)</f>
        <v/>
      </c>
      <c r="I30" s="127">
        <f>IF(Ctas_Cobrar!I28="","",Ctas_Cobrar!I28)</f>
        <v/>
      </c>
      <c r="J30" s="127">
        <f>IF(Ctas_Cobrar!L28="","",Ctas_Cobrar!L28)</f>
        <v/>
      </c>
    </row>
    <row r="31" hidden="1" ht="16" customHeight="1" s="22">
      <c r="A31" s="124">
        <f>IF(Ctas_Cobrar!A29="","",Ctas_Cobrar!A29)</f>
        <v/>
      </c>
      <c r="B31" s="125">
        <f>IF(Ctas_Cobrar!B29="","",Ctas_Cobrar!B29)</f>
        <v/>
      </c>
      <c r="C31" s="124">
        <f>IF(Ctas_Cobrar!C29="","",Ctas_Cobrar!C29)</f>
        <v/>
      </c>
      <c r="D31" s="188">
        <f>IF(Ctas_Cobrar!D29="","",Ctas_Cobrar!D29)</f>
        <v/>
      </c>
      <c r="E31" s="188">
        <f>IF(Ctas_Cobrar!E29="","",Ctas_Cobrar!E29)</f>
        <v/>
      </c>
      <c r="F31" s="188">
        <f>IF(Ctas_Cobrar!F29="","",Ctas_Cobrar!F29)</f>
        <v/>
      </c>
      <c r="G31" s="125">
        <f>IF(Ctas_Cobrar!G29="","",Ctas_Cobrar!G29)</f>
        <v/>
      </c>
      <c r="H31" s="124">
        <f>IF(Ctas_Cobrar!H29="","",Ctas_Cobrar!H29)</f>
        <v/>
      </c>
      <c r="I31" s="124">
        <f>IF(Ctas_Cobrar!I29="","",Ctas_Cobrar!I29)</f>
        <v/>
      </c>
      <c r="J31" s="124">
        <f>IF(Ctas_Cobrar!L29="","",Ctas_Cobrar!L29)</f>
        <v/>
      </c>
    </row>
    <row r="32" hidden="1" ht="16" customHeight="1" s="22">
      <c r="A32" s="127">
        <f>IF(Ctas_Cobrar!A30="","",Ctas_Cobrar!A30)</f>
        <v/>
      </c>
      <c r="B32" s="128">
        <f>IF(Ctas_Cobrar!B30="","",Ctas_Cobrar!B30)</f>
        <v/>
      </c>
      <c r="C32" s="127">
        <f>IF(Ctas_Cobrar!C30="","",Ctas_Cobrar!C30)</f>
        <v/>
      </c>
      <c r="D32" s="189">
        <f>IF(Ctas_Cobrar!D30="","",Ctas_Cobrar!D30)</f>
        <v/>
      </c>
      <c r="E32" s="189">
        <f>IF(Ctas_Cobrar!E30="","",Ctas_Cobrar!E30)</f>
        <v/>
      </c>
      <c r="F32" s="189">
        <f>IF(Ctas_Cobrar!F30="","",Ctas_Cobrar!F30)</f>
        <v/>
      </c>
      <c r="G32" s="128">
        <f>IF(Ctas_Cobrar!G30="","",Ctas_Cobrar!G30)</f>
        <v/>
      </c>
      <c r="H32" s="127">
        <f>IF(Ctas_Cobrar!H30="","",Ctas_Cobrar!H30)</f>
        <v/>
      </c>
      <c r="I32" s="127">
        <f>IF(Ctas_Cobrar!I30="","",Ctas_Cobrar!I30)</f>
        <v/>
      </c>
      <c r="J32" s="127">
        <f>IF(Ctas_Cobrar!L30="","",Ctas_Cobrar!L30)</f>
        <v/>
      </c>
    </row>
    <row r="33" hidden="1" ht="16" customHeight="1" s="22">
      <c r="A33" s="124">
        <f>IF(Ctas_Cobrar!A31="","",Ctas_Cobrar!A31)</f>
        <v/>
      </c>
      <c r="B33" s="125">
        <f>IF(Ctas_Cobrar!B31="","",Ctas_Cobrar!B31)</f>
        <v/>
      </c>
      <c r="C33" s="124">
        <f>IF(Ctas_Cobrar!C31="","",Ctas_Cobrar!C31)</f>
        <v/>
      </c>
      <c r="D33" s="188">
        <f>IF(Ctas_Cobrar!D31="","",Ctas_Cobrar!D31)</f>
        <v/>
      </c>
      <c r="E33" s="188">
        <f>IF(Ctas_Cobrar!E31="","",Ctas_Cobrar!E31)</f>
        <v/>
      </c>
      <c r="F33" s="188">
        <f>IF(Ctas_Cobrar!F31="","",Ctas_Cobrar!F31)</f>
        <v/>
      </c>
      <c r="G33" s="125">
        <f>IF(Ctas_Cobrar!G31="","",Ctas_Cobrar!G31)</f>
        <v/>
      </c>
      <c r="H33" s="124">
        <f>IF(Ctas_Cobrar!H31="","",Ctas_Cobrar!H31)</f>
        <v/>
      </c>
      <c r="I33" s="124">
        <f>IF(Ctas_Cobrar!I31="","",Ctas_Cobrar!I31)</f>
        <v/>
      </c>
      <c r="J33" s="124">
        <f>IF(Ctas_Cobrar!L31="","",Ctas_Cobrar!L31)</f>
        <v/>
      </c>
    </row>
    <row r="34" hidden="1" ht="16" customHeight="1" s="22">
      <c r="A34" s="127">
        <f>IF(Ctas_Cobrar!A32="","",Ctas_Cobrar!A32)</f>
        <v/>
      </c>
      <c r="B34" s="128">
        <f>IF(Ctas_Cobrar!B32="","",Ctas_Cobrar!B32)</f>
        <v/>
      </c>
      <c r="C34" s="127">
        <f>IF(Ctas_Cobrar!C32="","",Ctas_Cobrar!C32)</f>
        <v/>
      </c>
      <c r="D34" s="189">
        <f>IF(Ctas_Cobrar!D32="","",Ctas_Cobrar!D32)</f>
        <v/>
      </c>
      <c r="E34" s="189">
        <f>IF(Ctas_Cobrar!E32="","",Ctas_Cobrar!E32)</f>
        <v/>
      </c>
      <c r="F34" s="189">
        <f>IF(Ctas_Cobrar!F32="","",Ctas_Cobrar!F32)</f>
        <v/>
      </c>
      <c r="G34" s="128">
        <f>IF(Ctas_Cobrar!G32="","",Ctas_Cobrar!G32)</f>
        <v/>
      </c>
      <c r="H34" s="127">
        <f>IF(Ctas_Cobrar!H32="","",Ctas_Cobrar!H32)</f>
        <v/>
      </c>
      <c r="I34" s="127">
        <f>IF(Ctas_Cobrar!I32="","",Ctas_Cobrar!I32)</f>
        <v/>
      </c>
      <c r="J34" s="127">
        <f>IF(Ctas_Cobrar!L32="","",Ctas_Cobrar!L32)</f>
        <v/>
      </c>
    </row>
    <row r="35" hidden="1" ht="16" customHeight="1" s="22">
      <c r="A35" s="124">
        <f>IF(Ctas_Cobrar!A33="","",Ctas_Cobrar!A33)</f>
        <v/>
      </c>
      <c r="B35" s="125">
        <f>IF(Ctas_Cobrar!B33="","",Ctas_Cobrar!B33)</f>
        <v/>
      </c>
      <c r="C35" s="124">
        <f>IF(Ctas_Cobrar!C33="","",Ctas_Cobrar!C33)</f>
        <v/>
      </c>
      <c r="D35" s="188">
        <f>IF(Ctas_Cobrar!D33="","",Ctas_Cobrar!D33)</f>
        <v/>
      </c>
      <c r="E35" s="188">
        <f>IF(Ctas_Cobrar!E33="","",Ctas_Cobrar!E33)</f>
        <v/>
      </c>
      <c r="F35" s="188">
        <f>IF(Ctas_Cobrar!F33="","",Ctas_Cobrar!F33)</f>
        <v/>
      </c>
      <c r="G35" s="125">
        <f>IF(Ctas_Cobrar!G33="","",Ctas_Cobrar!G33)</f>
        <v/>
      </c>
      <c r="H35" s="124">
        <f>IF(Ctas_Cobrar!H33="","",Ctas_Cobrar!H33)</f>
        <v/>
      </c>
      <c r="I35" s="124">
        <f>IF(Ctas_Cobrar!I33="","",Ctas_Cobrar!I33)</f>
        <v/>
      </c>
      <c r="J35" s="124">
        <f>IF(Ctas_Cobrar!L33="","",Ctas_Cobrar!L33)</f>
        <v/>
      </c>
    </row>
    <row r="36" hidden="1" ht="16" customHeight="1" s="22">
      <c r="A36" s="127">
        <f>IF(Ctas_Cobrar!A34="","",Ctas_Cobrar!A34)</f>
        <v/>
      </c>
      <c r="B36" s="128">
        <f>IF(Ctas_Cobrar!B34="","",Ctas_Cobrar!B34)</f>
        <v/>
      </c>
      <c r="C36" s="127">
        <f>IF(Ctas_Cobrar!C34="","",Ctas_Cobrar!C34)</f>
        <v/>
      </c>
      <c r="D36" s="189">
        <f>IF(Ctas_Cobrar!D34="","",Ctas_Cobrar!D34)</f>
        <v/>
      </c>
      <c r="E36" s="189">
        <f>IF(Ctas_Cobrar!E34="","",Ctas_Cobrar!E34)</f>
        <v/>
      </c>
      <c r="F36" s="189">
        <f>IF(Ctas_Cobrar!F34="","",Ctas_Cobrar!F34)</f>
        <v/>
      </c>
      <c r="G36" s="128">
        <f>IF(Ctas_Cobrar!G34="","",Ctas_Cobrar!G34)</f>
        <v/>
      </c>
      <c r="H36" s="127">
        <f>IF(Ctas_Cobrar!H34="","",Ctas_Cobrar!H34)</f>
        <v/>
      </c>
      <c r="I36" s="127">
        <f>IF(Ctas_Cobrar!I34="","",Ctas_Cobrar!I34)</f>
        <v/>
      </c>
      <c r="J36" s="127">
        <f>IF(Ctas_Cobrar!L34="","",Ctas_Cobrar!L34)</f>
        <v/>
      </c>
    </row>
    <row r="37" hidden="1" ht="16" customHeight="1" s="22">
      <c r="A37" s="124">
        <f>IF(Ctas_Cobrar!A35="","",Ctas_Cobrar!A35)</f>
        <v/>
      </c>
      <c r="B37" s="125">
        <f>IF(Ctas_Cobrar!B35="","",Ctas_Cobrar!B35)</f>
        <v/>
      </c>
      <c r="C37" s="124">
        <f>IF(Ctas_Cobrar!C35="","",Ctas_Cobrar!C35)</f>
        <v/>
      </c>
      <c r="D37" s="188">
        <f>IF(Ctas_Cobrar!D35="","",Ctas_Cobrar!D35)</f>
        <v/>
      </c>
      <c r="E37" s="188">
        <f>IF(Ctas_Cobrar!E35="","",Ctas_Cobrar!E35)</f>
        <v/>
      </c>
      <c r="F37" s="188">
        <f>IF(Ctas_Cobrar!F35="","",Ctas_Cobrar!F35)</f>
        <v/>
      </c>
      <c r="G37" s="125">
        <f>IF(Ctas_Cobrar!G35="","",Ctas_Cobrar!G35)</f>
        <v/>
      </c>
      <c r="H37" s="124">
        <f>IF(Ctas_Cobrar!H35="","",Ctas_Cobrar!H35)</f>
        <v/>
      </c>
      <c r="I37" s="124">
        <f>IF(Ctas_Cobrar!I35="","",Ctas_Cobrar!I35)</f>
        <v/>
      </c>
      <c r="J37" s="124">
        <f>IF(Ctas_Cobrar!L35="","",Ctas_Cobrar!L35)</f>
        <v/>
      </c>
    </row>
    <row r="38" hidden="1" ht="16" customHeight="1" s="22">
      <c r="A38" s="127">
        <f>IF(Ctas_Cobrar!A36="","",Ctas_Cobrar!A36)</f>
        <v/>
      </c>
      <c r="B38" s="128">
        <f>IF(Ctas_Cobrar!B36="","",Ctas_Cobrar!B36)</f>
        <v/>
      </c>
      <c r="C38" s="127">
        <f>IF(Ctas_Cobrar!C36="","",Ctas_Cobrar!C36)</f>
        <v/>
      </c>
      <c r="D38" s="189">
        <f>IF(Ctas_Cobrar!D36="","",Ctas_Cobrar!D36)</f>
        <v/>
      </c>
      <c r="E38" s="189">
        <f>IF(Ctas_Cobrar!E36="","",Ctas_Cobrar!E36)</f>
        <v/>
      </c>
      <c r="F38" s="189">
        <f>IF(Ctas_Cobrar!F36="","",Ctas_Cobrar!F36)</f>
        <v/>
      </c>
      <c r="G38" s="128">
        <f>IF(Ctas_Cobrar!G36="","",Ctas_Cobrar!G36)</f>
        <v/>
      </c>
      <c r="H38" s="127">
        <f>IF(Ctas_Cobrar!H36="","",Ctas_Cobrar!H36)</f>
        <v/>
      </c>
      <c r="I38" s="127">
        <f>IF(Ctas_Cobrar!I36="","",Ctas_Cobrar!I36)</f>
        <v/>
      </c>
      <c r="J38" s="127">
        <f>IF(Ctas_Cobrar!L36="","",Ctas_Cobrar!L36)</f>
        <v/>
      </c>
    </row>
    <row r="39" hidden="1" ht="16" customHeight="1" s="22">
      <c r="A39" s="124">
        <f>IF(Ctas_Cobrar!A37="","",Ctas_Cobrar!A37)</f>
        <v/>
      </c>
      <c r="B39" s="125">
        <f>IF(Ctas_Cobrar!B37="","",Ctas_Cobrar!B37)</f>
        <v/>
      </c>
      <c r="C39" s="124">
        <f>IF(Ctas_Cobrar!C37="","",Ctas_Cobrar!C37)</f>
        <v/>
      </c>
      <c r="D39" s="188">
        <f>IF(Ctas_Cobrar!D37="","",Ctas_Cobrar!D37)</f>
        <v/>
      </c>
      <c r="E39" s="188">
        <f>IF(Ctas_Cobrar!E37="","",Ctas_Cobrar!E37)</f>
        <v/>
      </c>
      <c r="F39" s="188">
        <f>IF(Ctas_Cobrar!F37="","",Ctas_Cobrar!F37)</f>
        <v/>
      </c>
      <c r="G39" s="125">
        <f>IF(Ctas_Cobrar!G37="","",Ctas_Cobrar!G37)</f>
        <v/>
      </c>
      <c r="H39" s="124">
        <f>IF(Ctas_Cobrar!H37="","",Ctas_Cobrar!H37)</f>
        <v/>
      </c>
      <c r="I39" s="124">
        <f>IF(Ctas_Cobrar!I37="","",Ctas_Cobrar!I37)</f>
        <v/>
      </c>
      <c r="J39" s="124">
        <f>IF(Ctas_Cobrar!L37="","",Ctas_Cobrar!L37)</f>
        <v/>
      </c>
    </row>
    <row r="40" hidden="1" ht="16" customHeight="1" s="22">
      <c r="A40" s="127">
        <f>IF(Ctas_Cobrar!A38="","",Ctas_Cobrar!A38)</f>
        <v/>
      </c>
      <c r="B40" s="128">
        <f>IF(Ctas_Cobrar!B38="","",Ctas_Cobrar!B38)</f>
        <v/>
      </c>
      <c r="C40" s="127">
        <f>IF(Ctas_Cobrar!C38="","",Ctas_Cobrar!C38)</f>
        <v/>
      </c>
      <c r="D40" s="189">
        <f>IF(Ctas_Cobrar!D38="","",Ctas_Cobrar!D38)</f>
        <v/>
      </c>
      <c r="E40" s="189">
        <f>IF(Ctas_Cobrar!E38="","",Ctas_Cobrar!E38)</f>
        <v/>
      </c>
      <c r="F40" s="189">
        <f>IF(Ctas_Cobrar!F38="","",Ctas_Cobrar!F38)</f>
        <v/>
      </c>
      <c r="G40" s="128">
        <f>IF(Ctas_Cobrar!G38="","",Ctas_Cobrar!G38)</f>
        <v/>
      </c>
      <c r="H40" s="127">
        <f>IF(Ctas_Cobrar!H38="","",Ctas_Cobrar!H38)</f>
        <v/>
      </c>
      <c r="I40" s="127">
        <f>IF(Ctas_Cobrar!I38="","",Ctas_Cobrar!I38)</f>
        <v/>
      </c>
      <c r="J40" s="127">
        <f>IF(Ctas_Cobrar!L38="","",Ctas_Cobrar!L38)</f>
        <v/>
      </c>
    </row>
    <row r="41" hidden="1" ht="16" customHeight="1" s="22">
      <c r="A41" s="124">
        <f>IF(Ctas_Cobrar!A39="","",Ctas_Cobrar!A39)</f>
        <v/>
      </c>
      <c r="B41" s="125">
        <f>IF(Ctas_Cobrar!B39="","",Ctas_Cobrar!B39)</f>
        <v/>
      </c>
      <c r="C41" s="124">
        <f>IF(Ctas_Cobrar!C39="","",Ctas_Cobrar!C39)</f>
        <v/>
      </c>
      <c r="D41" s="188">
        <f>IF(Ctas_Cobrar!D39="","",Ctas_Cobrar!D39)</f>
        <v/>
      </c>
      <c r="E41" s="188">
        <f>IF(Ctas_Cobrar!E39="","",Ctas_Cobrar!E39)</f>
        <v/>
      </c>
      <c r="F41" s="188">
        <f>IF(Ctas_Cobrar!F39="","",Ctas_Cobrar!F39)</f>
        <v/>
      </c>
      <c r="G41" s="125">
        <f>IF(Ctas_Cobrar!G39="","",Ctas_Cobrar!G39)</f>
        <v/>
      </c>
      <c r="H41" s="124">
        <f>IF(Ctas_Cobrar!H39="","",Ctas_Cobrar!H39)</f>
        <v/>
      </c>
      <c r="I41" s="124">
        <f>IF(Ctas_Cobrar!I39="","",Ctas_Cobrar!I39)</f>
        <v/>
      </c>
      <c r="J41" s="124">
        <f>IF(Ctas_Cobrar!L39="","",Ctas_Cobrar!L39)</f>
        <v/>
      </c>
    </row>
    <row r="42" hidden="1" ht="16" customHeight="1" s="22">
      <c r="A42" s="127">
        <f>IF(Ctas_Cobrar!A40="","",Ctas_Cobrar!A40)</f>
        <v/>
      </c>
      <c r="B42" s="128">
        <f>IF(Ctas_Cobrar!B40="","",Ctas_Cobrar!B40)</f>
        <v/>
      </c>
      <c r="C42" s="127">
        <f>IF(Ctas_Cobrar!C40="","",Ctas_Cobrar!C40)</f>
        <v/>
      </c>
      <c r="D42" s="189">
        <f>IF(Ctas_Cobrar!D40="","",Ctas_Cobrar!D40)</f>
        <v/>
      </c>
      <c r="E42" s="189">
        <f>IF(Ctas_Cobrar!E40="","",Ctas_Cobrar!E40)</f>
        <v/>
      </c>
      <c r="F42" s="189">
        <f>IF(Ctas_Cobrar!F40="","",Ctas_Cobrar!F40)</f>
        <v/>
      </c>
      <c r="G42" s="128">
        <f>IF(Ctas_Cobrar!G40="","",Ctas_Cobrar!G40)</f>
        <v/>
      </c>
      <c r="H42" s="127">
        <f>IF(Ctas_Cobrar!H40="","",Ctas_Cobrar!H40)</f>
        <v/>
      </c>
      <c r="I42" s="127">
        <f>IF(Ctas_Cobrar!I40="","",Ctas_Cobrar!I40)</f>
        <v/>
      </c>
      <c r="J42" s="127">
        <f>IF(Ctas_Cobrar!L40="","",Ctas_Cobrar!L40)</f>
        <v/>
      </c>
    </row>
    <row r="43" hidden="1" ht="16" customHeight="1" s="22">
      <c r="A43" s="124">
        <f>IF(Ctas_Cobrar!A41="","",Ctas_Cobrar!A41)</f>
        <v/>
      </c>
      <c r="B43" s="125">
        <f>IF(Ctas_Cobrar!B41="","",Ctas_Cobrar!B41)</f>
        <v/>
      </c>
      <c r="C43" s="124">
        <f>IF(Ctas_Cobrar!C41="","",Ctas_Cobrar!C41)</f>
        <v/>
      </c>
      <c r="D43" s="188">
        <f>IF(Ctas_Cobrar!D41="","",Ctas_Cobrar!D41)</f>
        <v/>
      </c>
      <c r="E43" s="188">
        <f>IF(Ctas_Cobrar!E41="","",Ctas_Cobrar!E41)</f>
        <v/>
      </c>
      <c r="F43" s="188">
        <f>IF(Ctas_Cobrar!F41="","",Ctas_Cobrar!F41)</f>
        <v/>
      </c>
      <c r="G43" s="125">
        <f>IF(Ctas_Cobrar!G41="","",Ctas_Cobrar!G41)</f>
        <v/>
      </c>
      <c r="H43" s="124">
        <f>IF(Ctas_Cobrar!H41="","",Ctas_Cobrar!H41)</f>
        <v/>
      </c>
      <c r="I43" s="124">
        <f>IF(Ctas_Cobrar!I41="","",Ctas_Cobrar!I41)</f>
        <v/>
      </c>
      <c r="J43" s="124">
        <f>IF(Ctas_Cobrar!L41="","",Ctas_Cobrar!L41)</f>
        <v/>
      </c>
    </row>
    <row r="44" hidden="1" ht="16" customHeight="1" s="22">
      <c r="A44" s="127">
        <f>IF(Ctas_Cobrar!A42="","",Ctas_Cobrar!A42)</f>
        <v/>
      </c>
      <c r="B44" s="128">
        <f>IF(Ctas_Cobrar!B42="","",Ctas_Cobrar!B42)</f>
        <v/>
      </c>
      <c r="C44" s="127">
        <f>IF(Ctas_Cobrar!C42="","",Ctas_Cobrar!C42)</f>
        <v/>
      </c>
      <c r="D44" s="189">
        <f>IF(Ctas_Cobrar!D42="","",Ctas_Cobrar!D42)</f>
        <v/>
      </c>
      <c r="E44" s="189">
        <f>IF(Ctas_Cobrar!E42="","",Ctas_Cobrar!E42)</f>
        <v/>
      </c>
      <c r="F44" s="189">
        <f>IF(Ctas_Cobrar!F42="","",Ctas_Cobrar!F42)</f>
        <v/>
      </c>
      <c r="G44" s="128">
        <f>IF(Ctas_Cobrar!G42="","",Ctas_Cobrar!G42)</f>
        <v/>
      </c>
      <c r="H44" s="127">
        <f>IF(Ctas_Cobrar!H42="","",Ctas_Cobrar!H42)</f>
        <v/>
      </c>
      <c r="I44" s="127">
        <f>IF(Ctas_Cobrar!I42="","",Ctas_Cobrar!I42)</f>
        <v/>
      </c>
      <c r="J44" s="127">
        <f>IF(Ctas_Cobrar!L42="","",Ctas_Cobrar!L42)</f>
        <v/>
      </c>
    </row>
    <row r="45" hidden="1" ht="16" customHeight="1" s="22">
      <c r="A45" s="124">
        <f>IF(Ctas_Cobrar!A43="","",Ctas_Cobrar!A43)</f>
        <v/>
      </c>
      <c r="B45" s="125">
        <f>IF(Ctas_Cobrar!B43="","",Ctas_Cobrar!B43)</f>
        <v/>
      </c>
      <c r="C45" s="124">
        <f>IF(Ctas_Cobrar!C43="","",Ctas_Cobrar!C43)</f>
        <v/>
      </c>
      <c r="D45" s="188">
        <f>IF(Ctas_Cobrar!D43="","",Ctas_Cobrar!D43)</f>
        <v/>
      </c>
      <c r="E45" s="188">
        <f>IF(Ctas_Cobrar!E43="","",Ctas_Cobrar!E43)</f>
        <v/>
      </c>
      <c r="F45" s="188">
        <f>IF(Ctas_Cobrar!F43="","",Ctas_Cobrar!F43)</f>
        <v/>
      </c>
      <c r="G45" s="125">
        <f>IF(Ctas_Cobrar!G43="","",Ctas_Cobrar!G43)</f>
        <v/>
      </c>
      <c r="H45" s="124">
        <f>IF(Ctas_Cobrar!H43="","",Ctas_Cobrar!H43)</f>
        <v/>
      </c>
      <c r="I45" s="124">
        <f>IF(Ctas_Cobrar!I43="","",Ctas_Cobrar!I43)</f>
        <v/>
      </c>
      <c r="J45" s="124">
        <f>IF(Ctas_Cobrar!L43="","",Ctas_Cobrar!L43)</f>
        <v/>
      </c>
    </row>
    <row r="46" hidden="1" ht="16" customHeight="1" s="22">
      <c r="A46" s="127">
        <f>IF(Ctas_Cobrar!A44="","",Ctas_Cobrar!A44)</f>
        <v/>
      </c>
      <c r="B46" s="128">
        <f>IF(Ctas_Cobrar!B44="","",Ctas_Cobrar!B44)</f>
        <v/>
      </c>
      <c r="C46" s="127">
        <f>IF(Ctas_Cobrar!C44="","",Ctas_Cobrar!C44)</f>
        <v/>
      </c>
      <c r="D46" s="189">
        <f>IF(Ctas_Cobrar!D44="","",Ctas_Cobrar!D44)</f>
        <v/>
      </c>
      <c r="E46" s="189">
        <f>IF(Ctas_Cobrar!E44="","",Ctas_Cobrar!E44)</f>
        <v/>
      </c>
      <c r="F46" s="189">
        <f>IF(Ctas_Cobrar!F44="","",Ctas_Cobrar!F44)</f>
        <v/>
      </c>
      <c r="G46" s="128">
        <f>IF(Ctas_Cobrar!G44="","",Ctas_Cobrar!G44)</f>
        <v/>
      </c>
      <c r="H46" s="127">
        <f>IF(Ctas_Cobrar!H44="","",Ctas_Cobrar!H44)</f>
        <v/>
      </c>
      <c r="I46" s="127">
        <f>IF(Ctas_Cobrar!I44="","",Ctas_Cobrar!I44)</f>
        <v/>
      </c>
      <c r="J46" s="127">
        <f>IF(Ctas_Cobrar!L44="","",Ctas_Cobrar!L44)</f>
        <v/>
      </c>
    </row>
    <row r="47" hidden="1" ht="16" customHeight="1" s="22">
      <c r="A47" s="124">
        <f>IF(Ctas_Cobrar!A45="","",Ctas_Cobrar!A45)</f>
        <v/>
      </c>
      <c r="B47" s="125">
        <f>IF(Ctas_Cobrar!B45="","",Ctas_Cobrar!B45)</f>
        <v/>
      </c>
      <c r="C47" s="124">
        <f>IF(Ctas_Cobrar!C45="","",Ctas_Cobrar!C45)</f>
        <v/>
      </c>
      <c r="D47" s="188">
        <f>IF(Ctas_Cobrar!D45="","",Ctas_Cobrar!D45)</f>
        <v/>
      </c>
      <c r="E47" s="188">
        <f>IF(Ctas_Cobrar!E45="","",Ctas_Cobrar!E45)</f>
        <v/>
      </c>
      <c r="F47" s="188">
        <f>IF(Ctas_Cobrar!F45="","",Ctas_Cobrar!F45)</f>
        <v/>
      </c>
      <c r="G47" s="125">
        <f>IF(Ctas_Cobrar!G45="","",Ctas_Cobrar!G45)</f>
        <v/>
      </c>
      <c r="H47" s="124">
        <f>IF(Ctas_Cobrar!H45="","",Ctas_Cobrar!H45)</f>
        <v/>
      </c>
      <c r="I47" s="124">
        <f>IF(Ctas_Cobrar!I45="","",Ctas_Cobrar!I45)</f>
        <v/>
      </c>
      <c r="J47" s="124">
        <f>IF(Ctas_Cobrar!L45="","",Ctas_Cobrar!L45)</f>
        <v/>
      </c>
    </row>
    <row r="48" hidden="1" ht="16" customHeight="1" s="22">
      <c r="A48" s="127">
        <f>IF(Ctas_Cobrar!A46="","",Ctas_Cobrar!A46)</f>
        <v/>
      </c>
      <c r="B48" s="128">
        <f>IF(Ctas_Cobrar!B46="","",Ctas_Cobrar!B46)</f>
        <v/>
      </c>
      <c r="C48" s="127">
        <f>IF(Ctas_Cobrar!C46="","",Ctas_Cobrar!C46)</f>
        <v/>
      </c>
      <c r="D48" s="189">
        <f>IF(Ctas_Cobrar!D46="","",Ctas_Cobrar!D46)</f>
        <v/>
      </c>
      <c r="E48" s="189">
        <f>IF(Ctas_Cobrar!E46="","",Ctas_Cobrar!E46)</f>
        <v/>
      </c>
      <c r="F48" s="189">
        <f>IF(Ctas_Cobrar!F46="","",Ctas_Cobrar!F46)</f>
        <v/>
      </c>
      <c r="G48" s="128">
        <f>IF(Ctas_Cobrar!G46="","",Ctas_Cobrar!G46)</f>
        <v/>
      </c>
      <c r="H48" s="127">
        <f>IF(Ctas_Cobrar!H46="","",Ctas_Cobrar!H46)</f>
        <v/>
      </c>
      <c r="I48" s="127">
        <f>IF(Ctas_Cobrar!I46="","",Ctas_Cobrar!I46)</f>
        <v/>
      </c>
      <c r="J48" s="127">
        <f>IF(Ctas_Cobrar!L46="","",Ctas_Cobrar!L46)</f>
        <v/>
      </c>
    </row>
    <row r="49" hidden="1" ht="16" customHeight="1" s="22">
      <c r="A49" s="124">
        <f>IF(Ctas_Cobrar!A47="","",Ctas_Cobrar!A47)</f>
        <v/>
      </c>
      <c r="B49" s="125">
        <f>IF(Ctas_Cobrar!B47="","",Ctas_Cobrar!B47)</f>
        <v/>
      </c>
      <c r="C49" s="124">
        <f>IF(Ctas_Cobrar!C47="","",Ctas_Cobrar!C47)</f>
        <v/>
      </c>
      <c r="D49" s="188">
        <f>IF(Ctas_Cobrar!D47="","",Ctas_Cobrar!D47)</f>
        <v/>
      </c>
      <c r="E49" s="188">
        <f>IF(Ctas_Cobrar!E47="","",Ctas_Cobrar!E47)</f>
        <v/>
      </c>
      <c r="F49" s="188">
        <f>IF(Ctas_Cobrar!F47="","",Ctas_Cobrar!F47)</f>
        <v/>
      </c>
      <c r="G49" s="125">
        <f>IF(Ctas_Cobrar!G47="","",Ctas_Cobrar!G47)</f>
        <v/>
      </c>
      <c r="H49" s="124">
        <f>IF(Ctas_Cobrar!H47="","",Ctas_Cobrar!H47)</f>
        <v/>
      </c>
      <c r="I49" s="124">
        <f>IF(Ctas_Cobrar!I47="","",Ctas_Cobrar!I47)</f>
        <v/>
      </c>
      <c r="J49" s="124">
        <f>IF(Ctas_Cobrar!L47="","",Ctas_Cobrar!L47)</f>
        <v/>
      </c>
    </row>
    <row r="50" hidden="1" ht="16" customHeight="1" s="22">
      <c r="A50" s="127">
        <f>IF(Ctas_Cobrar!A48="","",Ctas_Cobrar!A48)</f>
        <v/>
      </c>
      <c r="B50" s="128">
        <f>IF(Ctas_Cobrar!B48="","",Ctas_Cobrar!B48)</f>
        <v/>
      </c>
      <c r="C50" s="127">
        <f>IF(Ctas_Cobrar!C48="","",Ctas_Cobrar!C48)</f>
        <v/>
      </c>
      <c r="D50" s="189">
        <f>IF(Ctas_Cobrar!D48="","",Ctas_Cobrar!D48)</f>
        <v/>
      </c>
      <c r="E50" s="189">
        <f>IF(Ctas_Cobrar!E48="","",Ctas_Cobrar!E48)</f>
        <v/>
      </c>
      <c r="F50" s="189">
        <f>IF(Ctas_Cobrar!F48="","",Ctas_Cobrar!F48)</f>
        <v/>
      </c>
      <c r="G50" s="128">
        <f>IF(Ctas_Cobrar!G48="","",Ctas_Cobrar!G48)</f>
        <v/>
      </c>
      <c r="H50" s="127">
        <f>IF(Ctas_Cobrar!H48="","",Ctas_Cobrar!H48)</f>
        <v/>
      </c>
      <c r="I50" s="127">
        <f>IF(Ctas_Cobrar!I48="","",Ctas_Cobrar!I48)</f>
        <v/>
      </c>
      <c r="J50" s="127">
        <f>IF(Ctas_Cobrar!L48="","",Ctas_Cobrar!L48)</f>
        <v/>
      </c>
    </row>
    <row r="51" hidden="1" ht="16" customHeight="1" s="22">
      <c r="A51" s="124">
        <f>IF(Ctas_Cobrar!A49="","",Ctas_Cobrar!A49)</f>
        <v/>
      </c>
      <c r="B51" s="125">
        <f>IF(Ctas_Cobrar!B49="","",Ctas_Cobrar!B49)</f>
        <v/>
      </c>
      <c r="C51" s="124">
        <f>IF(Ctas_Cobrar!C49="","",Ctas_Cobrar!C49)</f>
        <v/>
      </c>
      <c r="D51" s="188">
        <f>IF(Ctas_Cobrar!D49="","",Ctas_Cobrar!D49)</f>
        <v/>
      </c>
      <c r="E51" s="188">
        <f>IF(Ctas_Cobrar!E49="","",Ctas_Cobrar!E49)</f>
        <v/>
      </c>
      <c r="F51" s="188">
        <f>IF(Ctas_Cobrar!F49="","",Ctas_Cobrar!F49)</f>
        <v/>
      </c>
      <c r="G51" s="125">
        <f>IF(Ctas_Cobrar!G49="","",Ctas_Cobrar!G49)</f>
        <v/>
      </c>
      <c r="H51" s="124">
        <f>IF(Ctas_Cobrar!H49="","",Ctas_Cobrar!H49)</f>
        <v/>
      </c>
      <c r="I51" s="124">
        <f>IF(Ctas_Cobrar!I49="","",Ctas_Cobrar!I49)</f>
        <v/>
      </c>
      <c r="J51" s="124">
        <f>IF(Ctas_Cobrar!L49="","",Ctas_Cobrar!L49)</f>
        <v/>
      </c>
    </row>
    <row r="52" hidden="1" ht="16" customHeight="1" s="22">
      <c r="A52" s="127">
        <f>IF(Ctas_Cobrar!A50="","",Ctas_Cobrar!A50)</f>
        <v/>
      </c>
      <c r="B52" s="128">
        <f>IF(Ctas_Cobrar!B50="","",Ctas_Cobrar!B50)</f>
        <v/>
      </c>
      <c r="C52" s="127">
        <f>IF(Ctas_Cobrar!C50="","",Ctas_Cobrar!C50)</f>
        <v/>
      </c>
      <c r="D52" s="189">
        <f>IF(Ctas_Cobrar!D50="","",Ctas_Cobrar!D50)</f>
        <v/>
      </c>
      <c r="E52" s="189">
        <f>IF(Ctas_Cobrar!E50="","",Ctas_Cobrar!E50)</f>
        <v/>
      </c>
      <c r="F52" s="189">
        <f>IF(Ctas_Cobrar!F50="","",Ctas_Cobrar!F50)</f>
        <v/>
      </c>
      <c r="G52" s="128">
        <f>IF(Ctas_Cobrar!G50="","",Ctas_Cobrar!G50)</f>
        <v/>
      </c>
      <c r="H52" s="127">
        <f>IF(Ctas_Cobrar!H50="","",Ctas_Cobrar!H50)</f>
        <v/>
      </c>
      <c r="I52" s="127">
        <f>IF(Ctas_Cobrar!I50="","",Ctas_Cobrar!I50)</f>
        <v/>
      </c>
      <c r="J52" s="127">
        <f>IF(Ctas_Cobrar!L50="","",Ctas_Cobrar!L50)</f>
        <v/>
      </c>
    </row>
    <row r="53" hidden="1" ht="16" customHeight="1" s="22">
      <c r="A53" s="124">
        <f>IF(Ctas_Cobrar!A51="","",Ctas_Cobrar!A51)</f>
        <v/>
      </c>
      <c r="B53" s="125">
        <f>IF(Ctas_Cobrar!B51="","",Ctas_Cobrar!B51)</f>
        <v/>
      </c>
      <c r="C53" s="124">
        <f>IF(Ctas_Cobrar!C51="","",Ctas_Cobrar!C51)</f>
        <v/>
      </c>
      <c r="D53" s="188">
        <f>IF(Ctas_Cobrar!D51="","",Ctas_Cobrar!D51)</f>
        <v/>
      </c>
      <c r="E53" s="188">
        <f>IF(Ctas_Cobrar!E51="","",Ctas_Cobrar!E51)</f>
        <v/>
      </c>
      <c r="F53" s="188">
        <f>IF(Ctas_Cobrar!F51="","",Ctas_Cobrar!F51)</f>
        <v/>
      </c>
      <c r="G53" s="125">
        <f>IF(Ctas_Cobrar!G51="","",Ctas_Cobrar!G51)</f>
        <v/>
      </c>
      <c r="H53" s="124">
        <f>IF(Ctas_Cobrar!H51="","",Ctas_Cobrar!H51)</f>
        <v/>
      </c>
      <c r="I53" s="124">
        <f>IF(Ctas_Cobrar!I51="","",Ctas_Cobrar!I51)</f>
        <v/>
      </c>
      <c r="J53" s="124">
        <f>IF(Ctas_Cobrar!L51="","",Ctas_Cobrar!L51)</f>
        <v/>
      </c>
    </row>
    <row r="54" hidden="1" ht="16" customHeight="1" s="22">
      <c r="A54" s="127">
        <f>IF(Ctas_Cobrar!A52="","",Ctas_Cobrar!A52)</f>
        <v/>
      </c>
      <c r="B54" s="128">
        <f>IF(Ctas_Cobrar!B52="","",Ctas_Cobrar!B52)</f>
        <v/>
      </c>
      <c r="C54" s="127">
        <f>IF(Ctas_Cobrar!C52="","",Ctas_Cobrar!C52)</f>
        <v/>
      </c>
      <c r="D54" s="189">
        <f>IF(Ctas_Cobrar!D52="","",Ctas_Cobrar!D52)</f>
        <v/>
      </c>
      <c r="E54" s="189">
        <f>IF(Ctas_Cobrar!E52="","",Ctas_Cobrar!E52)</f>
        <v/>
      </c>
      <c r="F54" s="189">
        <f>IF(Ctas_Cobrar!F52="","",Ctas_Cobrar!F52)</f>
        <v/>
      </c>
      <c r="G54" s="128">
        <f>IF(Ctas_Cobrar!G52="","",Ctas_Cobrar!G52)</f>
        <v/>
      </c>
      <c r="H54" s="127">
        <f>IF(Ctas_Cobrar!H52="","",Ctas_Cobrar!H52)</f>
        <v/>
      </c>
      <c r="I54" s="127">
        <f>IF(Ctas_Cobrar!I52="","",Ctas_Cobrar!I52)</f>
        <v/>
      </c>
      <c r="J54" s="127">
        <f>IF(Ctas_Cobrar!L52="","",Ctas_Cobrar!L52)</f>
        <v/>
      </c>
    </row>
    <row r="55" hidden="1" ht="16" customHeight="1" s="22">
      <c r="A55" s="124">
        <f>IF(Ctas_Cobrar!A53="","",Ctas_Cobrar!A53)</f>
        <v/>
      </c>
      <c r="B55" s="125">
        <f>IF(Ctas_Cobrar!B53="","",Ctas_Cobrar!B53)</f>
        <v/>
      </c>
      <c r="C55" s="124">
        <f>IF(Ctas_Cobrar!C53="","",Ctas_Cobrar!C53)</f>
        <v/>
      </c>
      <c r="D55" s="188">
        <f>IF(Ctas_Cobrar!D53="","",Ctas_Cobrar!D53)</f>
        <v/>
      </c>
      <c r="E55" s="188">
        <f>IF(Ctas_Cobrar!E53="","",Ctas_Cobrar!E53)</f>
        <v/>
      </c>
      <c r="F55" s="188">
        <f>IF(Ctas_Cobrar!F53="","",Ctas_Cobrar!F53)</f>
        <v/>
      </c>
      <c r="G55" s="125">
        <f>IF(Ctas_Cobrar!G53="","",Ctas_Cobrar!G53)</f>
        <v/>
      </c>
      <c r="H55" s="124">
        <f>IF(Ctas_Cobrar!H53="","",Ctas_Cobrar!H53)</f>
        <v/>
      </c>
      <c r="I55" s="124">
        <f>IF(Ctas_Cobrar!I53="","",Ctas_Cobrar!I53)</f>
        <v/>
      </c>
      <c r="J55" s="124">
        <f>IF(Ctas_Cobrar!L53="","",Ctas_Cobrar!L53)</f>
        <v/>
      </c>
    </row>
    <row r="56" hidden="1" ht="16" customHeight="1" s="22">
      <c r="A56" s="127">
        <f>IF(Ctas_Cobrar!A54="","",Ctas_Cobrar!A54)</f>
        <v/>
      </c>
      <c r="B56" s="128">
        <f>IF(Ctas_Cobrar!B54="","",Ctas_Cobrar!B54)</f>
        <v/>
      </c>
      <c r="C56" s="127">
        <f>IF(Ctas_Cobrar!C54="","",Ctas_Cobrar!C54)</f>
        <v/>
      </c>
      <c r="D56" s="189">
        <f>IF(Ctas_Cobrar!D54="","",Ctas_Cobrar!D54)</f>
        <v/>
      </c>
      <c r="E56" s="189">
        <f>IF(Ctas_Cobrar!E54="","",Ctas_Cobrar!E54)</f>
        <v/>
      </c>
      <c r="F56" s="189">
        <f>IF(Ctas_Cobrar!F54="","",Ctas_Cobrar!F54)</f>
        <v/>
      </c>
      <c r="G56" s="128">
        <f>IF(Ctas_Cobrar!G54="","",Ctas_Cobrar!G54)</f>
        <v/>
      </c>
      <c r="H56" s="127">
        <f>IF(Ctas_Cobrar!H54="","",Ctas_Cobrar!H54)</f>
        <v/>
      </c>
      <c r="I56" s="127">
        <f>IF(Ctas_Cobrar!I54="","",Ctas_Cobrar!I54)</f>
        <v/>
      </c>
      <c r="J56" s="127">
        <f>IF(Ctas_Cobrar!L54="","",Ctas_Cobrar!L54)</f>
        <v/>
      </c>
    </row>
    <row r="58" ht="12" customHeight="1" s="22"/>
    <row r="59" ht="22" customHeight="1" s="22">
      <c r="A59" s="130" t="inlineStr">
        <is>
          <t xml:space="preserve">  📤  PAGOS PENDIENTES (desde Cuentas por Pagar)</t>
        </is>
      </c>
    </row>
    <row r="60" ht="22" customHeight="1" s="22">
      <c r="A60" s="131" t="inlineStr">
        <is>
          <t>N° OC</t>
        </is>
      </c>
      <c r="B60" s="131" t="inlineStr">
        <is>
          <t>Fecha</t>
        </is>
      </c>
      <c r="C60" s="131" t="inlineStr">
        <is>
          <t>Proveedor</t>
        </is>
      </c>
      <c r="D60" s="131" t="inlineStr">
        <is>
          <t>Importe</t>
        </is>
      </c>
      <c r="E60" s="131" t="inlineStr">
        <is>
          <t>Pagado</t>
        </is>
      </c>
      <c r="F60" s="131" t="inlineStr">
        <is>
          <t>Saldo</t>
        </is>
      </c>
      <c r="G60" s="131" t="inlineStr">
        <is>
          <t>Vencimiento</t>
        </is>
      </c>
      <c r="H60" s="131" t="inlineStr">
        <is>
          <t>Estado</t>
        </is>
      </c>
      <c r="I60" s="131" t="inlineStr">
        <is>
          <t>Días Atraso</t>
        </is>
      </c>
      <c r="J60" s="131" t="inlineStr">
        <is>
          <t>Alerta</t>
        </is>
      </c>
    </row>
    <row r="61" ht="16" customHeight="1" s="22">
      <c r="A61" s="124">
        <f>IF(Ctas_Pagar!A5="","",Ctas_Pagar!A5)</f>
        <v/>
      </c>
      <c r="B61" s="125">
        <f>IF(Ctas_Pagar!B5="","",Ctas_Pagar!B5)</f>
        <v/>
      </c>
      <c r="C61" s="124">
        <f>IF(Ctas_Pagar!C5="","",Ctas_Pagar!C5)</f>
        <v/>
      </c>
      <c r="D61" s="188">
        <f>IF(Ctas_Pagar!D5="","",Ctas_Pagar!D5)</f>
        <v/>
      </c>
      <c r="E61" s="188">
        <f>IF(Ctas_Pagar!E5="","",Ctas_Pagar!E5)</f>
        <v/>
      </c>
      <c r="F61" s="188">
        <f>IF(Ctas_Pagar!F5="","",Ctas_Pagar!F5)</f>
        <v/>
      </c>
      <c r="G61" s="125">
        <f>IF(Ctas_Pagar!G5="","",Ctas_Pagar!G5)</f>
        <v/>
      </c>
      <c r="H61" s="124">
        <f>IF(Ctas_Pagar!H5="","",Ctas_Pagar!H5)</f>
        <v/>
      </c>
      <c r="I61" s="124">
        <f>IF(Ctas_Pagar!I5="","",Ctas_Pagar!I5)</f>
        <v/>
      </c>
      <c r="J61" s="124">
        <f>IF(Ctas_Pagar!K5="","",Ctas_Pagar!K5)</f>
        <v/>
      </c>
    </row>
    <row r="62" ht="16" customHeight="1" s="22">
      <c r="A62" s="127">
        <f>IF(Ctas_Pagar!A6="","",Ctas_Pagar!A6)</f>
        <v/>
      </c>
      <c r="B62" s="128">
        <f>IF(Ctas_Pagar!B6="","",Ctas_Pagar!B6)</f>
        <v/>
      </c>
      <c r="C62" s="127">
        <f>IF(Ctas_Pagar!C6="","",Ctas_Pagar!C6)</f>
        <v/>
      </c>
      <c r="D62" s="189">
        <f>IF(Ctas_Pagar!D6="","",Ctas_Pagar!D6)</f>
        <v/>
      </c>
      <c r="E62" s="189">
        <f>IF(Ctas_Pagar!E6="","",Ctas_Pagar!E6)</f>
        <v/>
      </c>
      <c r="F62" s="189">
        <f>IF(Ctas_Pagar!F6="","",Ctas_Pagar!F6)</f>
        <v/>
      </c>
      <c r="G62" s="128">
        <f>IF(Ctas_Pagar!G6="","",Ctas_Pagar!G6)</f>
        <v/>
      </c>
      <c r="H62" s="127">
        <f>IF(Ctas_Pagar!H6="","",Ctas_Pagar!H6)</f>
        <v/>
      </c>
      <c r="I62" s="127">
        <f>IF(Ctas_Pagar!I6="","",Ctas_Pagar!I6)</f>
        <v/>
      </c>
      <c r="J62" s="127">
        <f>IF(Ctas_Pagar!K6="","",Ctas_Pagar!K6)</f>
        <v/>
      </c>
    </row>
    <row r="63" ht="16" customHeight="1" s="22">
      <c r="A63" s="124">
        <f>IF(Ctas_Pagar!A7="","",Ctas_Pagar!A7)</f>
        <v/>
      </c>
      <c r="B63" s="125">
        <f>IF(Ctas_Pagar!B7="","",Ctas_Pagar!B7)</f>
        <v/>
      </c>
      <c r="C63" s="124">
        <f>IF(Ctas_Pagar!C7="","",Ctas_Pagar!C7)</f>
        <v/>
      </c>
      <c r="D63" s="188">
        <f>IF(Ctas_Pagar!D7="","",Ctas_Pagar!D7)</f>
        <v/>
      </c>
      <c r="E63" s="188">
        <f>IF(Ctas_Pagar!E7="","",Ctas_Pagar!E7)</f>
        <v/>
      </c>
      <c r="F63" s="188">
        <f>IF(Ctas_Pagar!F7="","",Ctas_Pagar!F7)</f>
        <v/>
      </c>
      <c r="G63" s="125">
        <f>IF(Ctas_Pagar!G7="","",Ctas_Pagar!G7)</f>
        <v/>
      </c>
      <c r="H63" s="124">
        <f>IF(Ctas_Pagar!H7="","",Ctas_Pagar!H7)</f>
        <v/>
      </c>
      <c r="I63" s="124">
        <f>IF(Ctas_Pagar!I7="","",Ctas_Pagar!I7)</f>
        <v/>
      </c>
      <c r="J63" s="124">
        <f>IF(Ctas_Pagar!K7="","",Ctas_Pagar!K7)</f>
        <v/>
      </c>
    </row>
    <row r="64" ht="16" customHeight="1" s="22">
      <c r="A64" s="127">
        <f>IF(Ctas_Pagar!A8="","",Ctas_Pagar!A8)</f>
        <v/>
      </c>
      <c r="B64" s="128">
        <f>IF(Ctas_Pagar!B8="","",Ctas_Pagar!B8)</f>
        <v/>
      </c>
      <c r="C64" s="127">
        <f>IF(Ctas_Pagar!C8="","",Ctas_Pagar!C8)</f>
        <v/>
      </c>
      <c r="D64" s="189">
        <f>IF(Ctas_Pagar!D8="","",Ctas_Pagar!D8)</f>
        <v/>
      </c>
      <c r="E64" s="189">
        <f>IF(Ctas_Pagar!E8="","",Ctas_Pagar!E8)</f>
        <v/>
      </c>
      <c r="F64" s="189">
        <f>IF(Ctas_Pagar!F8="","",Ctas_Pagar!F8)</f>
        <v/>
      </c>
      <c r="G64" s="128">
        <f>IF(Ctas_Pagar!G8="","",Ctas_Pagar!G8)</f>
        <v/>
      </c>
      <c r="H64" s="127">
        <f>IF(Ctas_Pagar!H8="","",Ctas_Pagar!H8)</f>
        <v/>
      </c>
      <c r="I64" s="127">
        <f>IF(Ctas_Pagar!I8="","",Ctas_Pagar!I8)</f>
        <v/>
      </c>
      <c r="J64" s="127">
        <f>IF(Ctas_Pagar!K8="","",Ctas_Pagar!K8)</f>
        <v/>
      </c>
    </row>
    <row r="65" ht="16" customHeight="1" s="22">
      <c r="A65" s="124">
        <f>IF(Ctas_Pagar!A9="","",Ctas_Pagar!A9)</f>
        <v/>
      </c>
      <c r="B65" s="125">
        <f>IF(Ctas_Pagar!B9="","",Ctas_Pagar!B9)</f>
        <v/>
      </c>
      <c r="C65" s="124">
        <f>IF(Ctas_Pagar!C9="","",Ctas_Pagar!C9)</f>
        <v/>
      </c>
      <c r="D65" s="188">
        <f>IF(Ctas_Pagar!D9="","",Ctas_Pagar!D9)</f>
        <v/>
      </c>
      <c r="E65" s="188">
        <f>IF(Ctas_Pagar!E9="","",Ctas_Pagar!E9)</f>
        <v/>
      </c>
      <c r="F65" s="188">
        <f>IF(Ctas_Pagar!F9="","",Ctas_Pagar!F9)</f>
        <v/>
      </c>
      <c r="G65" s="125">
        <f>IF(Ctas_Pagar!G9="","",Ctas_Pagar!G9)</f>
        <v/>
      </c>
      <c r="H65" s="124">
        <f>IF(Ctas_Pagar!H9="","",Ctas_Pagar!H9)</f>
        <v/>
      </c>
      <c r="I65" s="124">
        <f>IF(Ctas_Pagar!I9="","",Ctas_Pagar!I9)</f>
        <v/>
      </c>
      <c r="J65" s="124">
        <f>IF(Ctas_Pagar!K9="","",Ctas_Pagar!K9)</f>
        <v/>
      </c>
    </row>
    <row r="66" ht="16" customHeight="1" s="22">
      <c r="A66" s="127">
        <f>IF(Ctas_Pagar!A10="","",Ctas_Pagar!A10)</f>
        <v/>
      </c>
      <c r="B66" s="128">
        <f>IF(Ctas_Pagar!B10="","",Ctas_Pagar!B10)</f>
        <v/>
      </c>
      <c r="C66" s="127">
        <f>IF(Ctas_Pagar!C10="","",Ctas_Pagar!C10)</f>
        <v/>
      </c>
      <c r="D66" s="189">
        <f>IF(Ctas_Pagar!D10="","",Ctas_Pagar!D10)</f>
        <v/>
      </c>
      <c r="E66" s="189">
        <f>IF(Ctas_Pagar!E10="","",Ctas_Pagar!E10)</f>
        <v/>
      </c>
      <c r="F66" s="189">
        <f>IF(Ctas_Pagar!F10="","",Ctas_Pagar!F10)</f>
        <v/>
      </c>
      <c r="G66" s="128">
        <f>IF(Ctas_Pagar!G10="","",Ctas_Pagar!G10)</f>
        <v/>
      </c>
      <c r="H66" s="127">
        <f>IF(Ctas_Pagar!H10="","",Ctas_Pagar!H10)</f>
        <v/>
      </c>
      <c r="I66" s="127">
        <f>IF(Ctas_Pagar!I10="","",Ctas_Pagar!I10)</f>
        <v/>
      </c>
      <c r="J66" s="127">
        <f>IF(Ctas_Pagar!K10="","",Ctas_Pagar!K10)</f>
        <v/>
      </c>
    </row>
    <row r="67" ht="16" customHeight="1" s="22">
      <c r="A67" s="124">
        <f>IF(Ctas_Pagar!A11="","",Ctas_Pagar!A11)</f>
        <v/>
      </c>
      <c r="B67" s="125">
        <f>IF(Ctas_Pagar!B11="","",Ctas_Pagar!B11)</f>
        <v/>
      </c>
      <c r="C67" s="124">
        <f>IF(Ctas_Pagar!C11="","",Ctas_Pagar!C11)</f>
        <v/>
      </c>
      <c r="D67" s="188">
        <f>IF(Ctas_Pagar!D11="","",Ctas_Pagar!D11)</f>
        <v/>
      </c>
      <c r="E67" s="188">
        <f>IF(Ctas_Pagar!E11="","",Ctas_Pagar!E11)</f>
        <v/>
      </c>
      <c r="F67" s="188">
        <f>IF(Ctas_Pagar!F11="","",Ctas_Pagar!F11)</f>
        <v/>
      </c>
      <c r="G67" s="125">
        <f>IF(Ctas_Pagar!G11="","",Ctas_Pagar!G11)</f>
        <v/>
      </c>
      <c r="H67" s="124">
        <f>IF(Ctas_Pagar!H11="","",Ctas_Pagar!H11)</f>
        <v/>
      </c>
      <c r="I67" s="124">
        <f>IF(Ctas_Pagar!I11="","",Ctas_Pagar!I11)</f>
        <v/>
      </c>
      <c r="J67" s="124">
        <f>IF(Ctas_Pagar!K11="","",Ctas_Pagar!K11)</f>
        <v/>
      </c>
    </row>
    <row r="68" ht="16" customHeight="1" s="22">
      <c r="A68" s="127">
        <f>IF(Ctas_Pagar!A12="","",Ctas_Pagar!A12)</f>
        <v/>
      </c>
      <c r="B68" s="128">
        <f>IF(Ctas_Pagar!B12="","",Ctas_Pagar!B12)</f>
        <v/>
      </c>
      <c r="C68" s="127">
        <f>IF(Ctas_Pagar!C12="","",Ctas_Pagar!C12)</f>
        <v/>
      </c>
      <c r="D68" s="189">
        <f>IF(Ctas_Pagar!D12="","",Ctas_Pagar!D12)</f>
        <v/>
      </c>
      <c r="E68" s="189">
        <f>IF(Ctas_Pagar!E12="","",Ctas_Pagar!E12)</f>
        <v/>
      </c>
      <c r="F68" s="189">
        <f>IF(Ctas_Pagar!F12="","",Ctas_Pagar!F12)</f>
        <v/>
      </c>
      <c r="G68" s="128">
        <f>IF(Ctas_Pagar!G12="","",Ctas_Pagar!G12)</f>
        <v/>
      </c>
      <c r="H68" s="127">
        <f>IF(Ctas_Pagar!H12="","",Ctas_Pagar!H12)</f>
        <v/>
      </c>
      <c r="I68" s="127">
        <f>IF(Ctas_Pagar!I12="","",Ctas_Pagar!I12)</f>
        <v/>
      </c>
      <c r="J68" s="127">
        <f>IF(Ctas_Pagar!K12="","",Ctas_Pagar!K12)</f>
        <v/>
      </c>
    </row>
    <row r="69" hidden="1" ht="16" customHeight="1" s="22">
      <c r="A69" s="124">
        <f>IF(Ctas_Pagar!A13="","",Ctas_Pagar!A13)</f>
        <v/>
      </c>
      <c r="B69" s="125">
        <f>IF(Ctas_Pagar!B13="","",Ctas_Pagar!B13)</f>
        <v/>
      </c>
      <c r="C69" s="124">
        <f>IF(Ctas_Pagar!C13="","",Ctas_Pagar!C13)</f>
        <v/>
      </c>
      <c r="D69" s="188">
        <f>IF(Ctas_Pagar!D13="","",Ctas_Pagar!D13)</f>
        <v/>
      </c>
      <c r="E69" s="188">
        <f>IF(Ctas_Pagar!E13="","",Ctas_Pagar!E13)</f>
        <v/>
      </c>
      <c r="F69" s="188">
        <f>IF(Ctas_Pagar!F13="","",Ctas_Pagar!F13)</f>
        <v/>
      </c>
      <c r="G69" s="125">
        <f>IF(Ctas_Pagar!G13="","",Ctas_Pagar!G13)</f>
        <v/>
      </c>
      <c r="H69" s="124">
        <f>IF(Ctas_Pagar!H13="","",Ctas_Pagar!H13)</f>
        <v/>
      </c>
      <c r="I69" s="124">
        <f>IF(Ctas_Pagar!I13="","",Ctas_Pagar!I13)</f>
        <v/>
      </c>
      <c r="J69" s="124">
        <f>IF(Ctas_Pagar!K13="","",Ctas_Pagar!K13)</f>
        <v/>
      </c>
    </row>
    <row r="70" hidden="1" ht="16" customHeight="1" s="22">
      <c r="A70" s="127">
        <f>IF(Ctas_Pagar!A14="","",Ctas_Pagar!A14)</f>
        <v/>
      </c>
      <c r="B70" s="128">
        <f>IF(Ctas_Pagar!B14="","",Ctas_Pagar!B14)</f>
        <v/>
      </c>
      <c r="C70" s="127">
        <f>IF(Ctas_Pagar!C14="","",Ctas_Pagar!C14)</f>
        <v/>
      </c>
      <c r="D70" s="189">
        <f>IF(Ctas_Pagar!D14="","",Ctas_Pagar!D14)</f>
        <v/>
      </c>
      <c r="E70" s="189">
        <f>IF(Ctas_Pagar!E14="","",Ctas_Pagar!E14)</f>
        <v/>
      </c>
      <c r="F70" s="189">
        <f>IF(Ctas_Pagar!F14="","",Ctas_Pagar!F14)</f>
        <v/>
      </c>
      <c r="G70" s="128">
        <f>IF(Ctas_Pagar!G14="","",Ctas_Pagar!G14)</f>
        <v/>
      </c>
      <c r="H70" s="127">
        <f>IF(Ctas_Pagar!H14="","",Ctas_Pagar!H14)</f>
        <v/>
      </c>
      <c r="I70" s="127">
        <f>IF(Ctas_Pagar!I14="","",Ctas_Pagar!I14)</f>
        <v/>
      </c>
      <c r="J70" s="127">
        <f>IF(Ctas_Pagar!K14="","",Ctas_Pagar!K14)</f>
        <v/>
      </c>
    </row>
    <row r="71" hidden="1" ht="16" customHeight="1" s="22">
      <c r="A71" s="124">
        <f>IF(Ctas_Pagar!A15="","",Ctas_Pagar!A15)</f>
        <v/>
      </c>
      <c r="B71" s="125">
        <f>IF(Ctas_Pagar!B15="","",Ctas_Pagar!B15)</f>
        <v/>
      </c>
      <c r="C71" s="124">
        <f>IF(Ctas_Pagar!C15="","",Ctas_Pagar!C15)</f>
        <v/>
      </c>
      <c r="D71" s="188">
        <f>IF(Ctas_Pagar!D15="","",Ctas_Pagar!D15)</f>
        <v/>
      </c>
      <c r="E71" s="188">
        <f>IF(Ctas_Pagar!E15="","",Ctas_Pagar!E15)</f>
        <v/>
      </c>
      <c r="F71" s="188">
        <f>IF(Ctas_Pagar!F15="","",Ctas_Pagar!F15)</f>
        <v/>
      </c>
      <c r="G71" s="125">
        <f>IF(Ctas_Pagar!G15="","",Ctas_Pagar!G15)</f>
        <v/>
      </c>
      <c r="H71" s="124">
        <f>IF(Ctas_Pagar!H15="","",Ctas_Pagar!H15)</f>
        <v/>
      </c>
      <c r="I71" s="124">
        <f>IF(Ctas_Pagar!I15="","",Ctas_Pagar!I15)</f>
        <v/>
      </c>
      <c r="J71" s="124">
        <f>IF(Ctas_Pagar!K15="","",Ctas_Pagar!K15)</f>
        <v/>
      </c>
    </row>
    <row r="72" hidden="1" ht="16" customHeight="1" s="22">
      <c r="A72" s="127">
        <f>IF(Ctas_Pagar!A16="","",Ctas_Pagar!A16)</f>
        <v/>
      </c>
      <c r="B72" s="128">
        <f>IF(Ctas_Pagar!B16="","",Ctas_Pagar!B16)</f>
        <v/>
      </c>
      <c r="C72" s="127">
        <f>IF(Ctas_Pagar!C16="","",Ctas_Pagar!C16)</f>
        <v/>
      </c>
      <c r="D72" s="189">
        <f>IF(Ctas_Pagar!D16="","",Ctas_Pagar!D16)</f>
        <v/>
      </c>
      <c r="E72" s="189">
        <f>IF(Ctas_Pagar!E16="","",Ctas_Pagar!E16)</f>
        <v/>
      </c>
      <c r="F72" s="189">
        <f>IF(Ctas_Pagar!F16="","",Ctas_Pagar!F16)</f>
        <v/>
      </c>
      <c r="G72" s="128">
        <f>IF(Ctas_Pagar!G16="","",Ctas_Pagar!G16)</f>
        <v/>
      </c>
      <c r="H72" s="127">
        <f>IF(Ctas_Pagar!H16="","",Ctas_Pagar!H16)</f>
        <v/>
      </c>
      <c r="I72" s="127">
        <f>IF(Ctas_Pagar!I16="","",Ctas_Pagar!I16)</f>
        <v/>
      </c>
      <c r="J72" s="127">
        <f>IF(Ctas_Pagar!K16="","",Ctas_Pagar!K16)</f>
        <v/>
      </c>
    </row>
    <row r="73" hidden="1" ht="16" customHeight="1" s="22">
      <c r="A73" s="124">
        <f>IF(Ctas_Pagar!A17="","",Ctas_Pagar!A17)</f>
        <v/>
      </c>
      <c r="B73" s="125">
        <f>IF(Ctas_Pagar!B17="","",Ctas_Pagar!B17)</f>
        <v/>
      </c>
      <c r="C73" s="124">
        <f>IF(Ctas_Pagar!C17="","",Ctas_Pagar!C17)</f>
        <v/>
      </c>
      <c r="D73" s="188">
        <f>IF(Ctas_Pagar!D17="","",Ctas_Pagar!D17)</f>
        <v/>
      </c>
      <c r="E73" s="188">
        <f>IF(Ctas_Pagar!E17="","",Ctas_Pagar!E17)</f>
        <v/>
      </c>
      <c r="F73" s="188">
        <f>IF(Ctas_Pagar!F17="","",Ctas_Pagar!F17)</f>
        <v/>
      </c>
      <c r="G73" s="125">
        <f>IF(Ctas_Pagar!G17="","",Ctas_Pagar!G17)</f>
        <v/>
      </c>
      <c r="H73" s="124">
        <f>IF(Ctas_Pagar!H17="","",Ctas_Pagar!H17)</f>
        <v/>
      </c>
      <c r="I73" s="124">
        <f>IF(Ctas_Pagar!I17="","",Ctas_Pagar!I17)</f>
        <v/>
      </c>
      <c r="J73" s="124">
        <f>IF(Ctas_Pagar!K17="","",Ctas_Pagar!K17)</f>
        <v/>
      </c>
    </row>
    <row r="74" hidden="1" ht="16" customHeight="1" s="22">
      <c r="A74" s="127">
        <f>IF(Ctas_Pagar!A18="","",Ctas_Pagar!A18)</f>
        <v/>
      </c>
      <c r="B74" s="128">
        <f>IF(Ctas_Pagar!B18="","",Ctas_Pagar!B18)</f>
        <v/>
      </c>
      <c r="C74" s="127">
        <f>IF(Ctas_Pagar!C18="","",Ctas_Pagar!C18)</f>
        <v/>
      </c>
      <c r="D74" s="189">
        <f>IF(Ctas_Pagar!D18="","",Ctas_Pagar!D18)</f>
        <v/>
      </c>
      <c r="E74" s="189">
        <f>IF(Ctas_Pagar!E18="","",Ctas_Pagar!E18)</f>
        <v/>
      </c>
      <c r="F74" s="189">
        <f>IF(Ctas_Pagar!F18="","",Ctas_Pagar!F18)</f>
        <v/>
      </c>
      <c r="G74" s="128">
        <f>IF(Ctas_Pagar!G18="","",Ctas_Pagar!G18)</f>
        <v/>
      </c>
      <c r="H74" s="127">
        <f>IF(Ctas_Pagar!H18="","",Ctas_Pagar!H18)</f>
        <v/>
      </c>
      <c r="I74" s="127">
        <f>IF(Ctas_Pagar!I18="","",Ctas_Pagar!I18)</f>
        <v/>
      </c>
      <c r="J74" s="127">
        <f>IF(Ctas_Pagar!K18="","",Ctas_Pagar!K18)</f>
        <v/>
      </c>
    </row>
    <row r="75" hidden="1" ht="16" customHeight="1" s="22">
      <c r="A75" s="124">
        <f>IF(Ctas_Pagar!A19="","",Ctas_Pagar!A19)</f>
        <v/>
      </c>
      <c r="B75" s="125">
        <f>IF(Ctas_Pagar!B19="","",Ctas_Pagar!B19)</f>
        <v/>
      </c>
      <c r="C75" s="124">
        <f>IF(Ctas_Pagar!C19="","",Ctas_Pagar!C19)</f>
        <v/>
      </c>
      <c r="D75" s="188">
        <f>IF(Ctas_Pagar!D19="","",Ctas_Pagar!D19)</f>
        <v/>
      </c>
      <c r="E75" s="188">
        <f>IF(Ctas_Pagar!E19="","",Ctas_Pagar!E19)</f>
        <v/>
      </c>
      <c r="F75" s="188">
        <f>IF(Ctas_Pagar!F19="","",Ctas_Pagar!F19)</f>
        <v/>
      </c>
      <c r="G75" s="125">
        <f>IF(Ctas_Pagar!G19="","",Ctas_Pagar!G19)</f>
        <v/>
      </c>
      <c r="H75" s="124">
        <f>IF(Ctas_Pagar!H19="","",Ctas_Pagar!H19)</f>
        <v/>
      </c>
      <c r="I75" s="124">
        <f>IF(Ctas_Pagar!I19="","",Ctas_Pagar!I19)</f>
        <v/>
      </c>
      <c r="J75" s="124">
        <f>IF(Ctas_Pagar!K19="","",Ctas_Pagar!K19)</f>
        <v/>
      </c>
    </row>
    <row r="76" hidden="1" ht="16" customHeight="1" s="22">
      <c r="A76" s="127">
        <f>IF(Ctas_Pagar!A20="","",Ctas_Pagar!A20)</f>
        <v/>
      </c>
      <c r="B76" s="128">
        <f>IF(Ctas_Pagar!B20="","",Ctas_Pagar!B20)</f>
        <v/>
      </c>
      <c r="C76" s="127">
        <f>IF(Ctas_Pagar!C20="","",Ctas_Pagar!C20)</f>
        <v/>
      </c>
      <c r="D76" s="189">
        <f>IF(Ctas_Pagar!D20="","",Ctas_Pagar!D20)</f>
        <v/>
      </c>
      <c r="E76" s="189">
        <f>IF(Ctas_Pagar!E20="","",Ctas_Pagar!E20)</f>
        <v/>
      </c>
      <c r="F76" s="189">
        <f>IF(Ctas_Pagar!F20="","",Ctas_Pagar!F20)</f>
        <v/>
      </c>
      <c r="G76" s="128">
        <f>IF(Ctas_Pagar!G20="","",Ctas_Pagar!G20)</f>
        <v/>
      </c>
      <c r="H76" s="127">
        <f>IF(Ctas_Pagar!H20="","",Ctas_Pagar!H20)</f>
        <v/>
      </c>
      <c r="I76" s="127">
        <f>IF(Ctas_Pagar!I20="","",Ctas_Pagar!I20)</f>
        <v/>
      </c>
      <c r="J76" s="127">
        <f>IF(Ctas_Pagar!K20="","",Ctas_Pagar!K20)</f>
        <v/>
      </c>
    </row>
    <row r="77" hidden="1" ht="16" customHeight="1" s="22">
      <c r="A77" s="124">
        <f>IF(Ctas_Pagar!A21="","",Ctas_Pagar!A21)</f>
        <v/>
      </c>
      <c r="B77" s="125">
        <f>IF(Ctas_Pagar!B21="","",Ctas_Pagar!B21)</f>
        <v/>
      </c>
      <c r="C77" s="124">
        <f>IF(Ctas_Pagar!C21="","",Ctas_Pagar!C21)</f>
        <v/>
      </c>
      <c r="D77" s="188">
        <f>IF(Ctas_Pagar!D21="","",Ctas_Pagar!D21)</f>
        <v/>
      </c>
      <c r="E77" s="188">
        <f>IF(Ctas_Pagar!E21="","",Ctas_Pagar!E21)</f>
        <v/>
      </c>
      <c r="F77" s="188">
        <f>IF(Ctas_Pagar!F21="","",Ctas_Pagar!F21)</f>
        <v/>
      </c>
      <c r="G77" s="125">
        <f>IF(Ctas_Pagar!G21="","",Ctas_Pagar!G21)</f>
        <v/>
      </c>
      <c r="H77" s="124">
        <f>IF(Ctas_Pagar!H21="","",Ctas_Pagar!H21)</f>
        <v/>
      </c>
      <c r="I77" s="124">
        <f>IF(Ctas_Pagar!I21="","",Ctas_Pagar!I21)</f>
        <v/>
      </c>
      <c r="J77" s="124">
        <f>IF(Ctas_Pagar!K21="","",Ctas_Pagar!K21)</f>
        <v/>
      </c>
    </row>
    <row r="78" hidden="1" ht="16" customHeight="1" s="22">
      <c r="A78" s="127">
        <f>IF(Ctas_Pagar!A22="","",Ctas_Pagar!A22)</f>
        <v/>
      </c>
      <c r="B78" s="128">
        <f>IF(Ctas_Pagar!B22="","",Ctas_Pagar!B22)</f>
        <v/>
      </c>
      <c r="C78" s="127">
        <f>IF(Ctas_Pagar!C22="","",Ctas_Pagar!C22)</f>
        <v/>
      </c>
      <c r="D78" s="189">
        <f>IF(Ctas_Pagar!D22="","",Ctas_Pagar!D22)</f>
        <v/>
      </c>
      <c r="E78" s="189">
        <f>IF(Ctas_Pagar!E22="","",Ctas_Pagar!E22)</f>
        <v/>
      </c>
      <c r="F78" s="189">
        <f>IF(Ctas_Pagar!F22="","",Ctas_Pagar!F22)</f>
        <v/>
      </c>
      <c r="G78" s="128">
        <f>IF(Ctas_Pagar!G22="","",Ctas_Pagar!G22)</f>
        <v/>
      </c>
      <c r="H78" s="127">
        <f>IF(Ctas_Pagar!H22="","",Ctas_Pagar!H22)</f>
        <v/>
      </c>
      <c r="I78" s="127">
        <f>IF(Ctas_Pagar!I22="","",Ctas_Pagar!I22)</f>
        <v/>
      </c>
      <c r="J78" s="127">
        <f>IF(Ctas_Pagar!K22="","",Ctas_Pagar!K22)</f>
        <v/>
      </c>
    </row>
    <row r="79" hidden="1" ht="16" customHeight="1" s="22">
      <c r="A79" s="124">
        <f>IF(Ctas_Pagar!A23="","",Ctas_Pagar!A23)</f>
        <v/>
      </c>
      <c r="B79" s="125">
        <f>IF(Ctas_Pagar!B23="","",Ctas_Pagar!B23)</f>
        <v/>
      </c>
      <c r="C79" s="124">
        <f>IF(Ctas_Pagar!C23="","",Ctas_Pagar!C23)</f>
        <v/>
      </c>
      <c r="D79" s="188">
        <f>IF(Ctas_Pagar!D23="","",Ctas_Pagar!D23)</f>
        <v/>
      </c>
      <c r="E79" s="188">
        <f>IF(Ctas_Pagar!E23="","",Ctas_Pagar!E23)</f>
        <v/>
      </c>
      <c r="F79" s="188">
        <f>IF(Ctas_Pagar!F23="","",Ctas_Pagar!F23)</f>
        <v/>
      </c>
      <c r="G79" s="125">
        <f>IF(Ctas_Pagar!G23="","",Ctas_Pagar!G23)</f>
        <v/>
      </c>
      <c r="H79" s="124">
        <f>IF(Ctas_Pagar!H23="","",Ctas_Pagar!H23)</f>
        <v/>
      </c>
      <c r="I79" s="124">
        <f>IF(Ctas_Pagar!I23="","",Ctas_Pagar!I23)</f>
        <v/>
      </c>
      <c r="J79" s="124">
        <f>IF(Ctas_Pagar!K23="","",Ctas_Pagar!K23)</f>
        <v/>
      </c>
    </row>
    <row r="80" hidden="1" ht="16" customHeight="1" s="22">
      <c r="A80" s="127">
        <f>IF(Ctas_Pagar!A24="","",Ctas_Pagar!A24)</f>
        <v/>
      </c>
      <c r="B80" s="128">
        <f>IF(Ctas_Pagar!B24="","",Ctas_Pagar!B24)</f>
        <v/>
      </c>
      <c r="C80" s="127">
        <f>IF(Ctas_Pagar!C24="","",Ctas_Pagar!C24)</f>
        <v/>
      </c>
      <c r="D80" s="189">
        <f>IF(Ctas_Pagar!D24="","",Ctas_Pagar!D24)</f>
        <v/>
      </c>
      <c r="E80" s="189">
        <f>IF(Ctas_Pagar!E24="","",Ctas_Pagar!E24)</f>
        <v/>
      </c>
      <c r="F80" s="189">
        <f>IF(Ctas_Pagar!F24="","",Ctas_Pagar!F24)</f>
        <v/>
      </c>
      <c r="G80" s="128">
        <f>IF(Ctas_Pagar!G24="","",Ctas_Pagar!G24)</f>
        <v/>
      </c>
      <c r="H80" s="127">
        <f>IF(Ctas_Pagar!H24="","",Ctas_Pagar!H24)</f>
        <v/>
      </c>
      <c r="I80" s="127">
        <f>IF(Ctas_Pagar!I24="","",Ctas_Pagar!I24)</f>
        <v/>
      </c>
      <c r="J80" s="127">
        <f>IF(Ctas_Pagar!K24="","",Ctas_Pagar!K24)</f>
        <v/>
      </c>
    </row>
    <row r="81" hidden="1" ht="16" customHeight="1" s="22">
      <c r="A81" s="124">
        <f>IF(Ctas_Pagar!A25="","",Ctas_Pagar!A25)</f>
        <v/>
      </c>
      <c r="B81" s="125">
        <f>IF(Ctas_Pagar!B25="","",Ctas_Pagar!B25)</f>
        <v/>
      </c>
      <c r="C81" s="124">
        <f>IF(Ctas_Pagar!C25="","",Ctas_Pagar!C25)</f>
        <v/>
      </c>
      <c r="D81" s="188">
        <f>IF(Ctas_Pagar!D25="","",Ctas_Pagar!D25)</f>
        <v/>
      </c>
      <c r="E81" s="188">
        <f>IF(Ctas_Pagar!E25="","",Ctas_Pagar!E25)</f>
        <v/>
      </c>
      <c r="F81" s="188">
        <f>IF(Ctas_Pagar!F25="","",Ctas_Pagar!F25)</f>
        <v/>
      </c>
      <c r="G81" s="125">
        <f>IF(Ctas_Pagar!G25="","",Ctas_Pagar!G25)</f>
        <v/>
      </c>
      <c r="H81" s="124">
        <f>IF(Ctas_Pagar!H25="","",Ctas_Pagar!H25)</f>
        <v/>
      </c>
      <c r="I81" s="124">
        <f>IF(Ctas_Pagar!I25="","",Ctas_Pagar!I25)</f>
        <v/>
      </c>
      <c r="J81" s="124">
        <f>IF(Ctas_Pagar!K25="","",Ctas_Pagar!K25)</f>
        <v/>
      </c>
    </row>
    <row r="82" hidden="1" ht="16" customHeight="1" s="22">
      <c r="A82" s="127">
        <f>IF(Ctas_Pagar!A26="","",Ctas_Pagar!A26)</f>
        <v/>
      </c>
      <c r="B82" s="128">
        <f>IF(Ctas_Pagar!B26="","",Ctas_Pagar!B26)</f>
        <v/>
      </c>
      <c r="C82" s="127">
        <f>IF(Ctas_Pagar!C26="","",Ctas_Pagar!C26)</f>
        <v/>
      </c>
      <c r="D82" s="189">
        <f>IF(Ctas_Pagar!D26="","",Ctas_Pagar!D26)</f>
        <v/>
      </c>
      <c r="E82" s="189">
        <f>IF(Ctas_Pagar!E26="","",Ctas_Pagar!E26)</f>
        <v/>
      </c>
      <c r="F82" s="189">
        <f>IF(Ctas_Pagar!F26="","",Ctas_Pagar!F26)</f>
        <v/>
      </c>
      <c r="G82" s="128">
        <f>IF(Ctas_Pagar!G26="","",Ctas_Pagar!G26)</f>
        <v/>
      </c>
      <c r="H82" s="127">
        <f>IF(Ctas_Pagar!H26="","",Ctas_Pagar!H26)</f>
        <v/>
      </c>
      <c r="I82" s="127">
        <f>IF(Ctas_Pagar!I26="","",Ctas_Pagar!I26)</f>
        <v/>
      </c>
      <c r="J82" s="127">
        <f>IF(Ctas_Pagar!K26="","",Ctas_Pagar!K26)</f>
        <v/>
      </c>
    </row>
    <row r="83" hidden="1" ht="16" customHeight="1" s="22">
      <c r="A83" s="124">
        <f>IF(Ctas_Pagar!A27="","",Ctas_Pagar!A27)</f>
        <v/>
      </c>
      <c r="B83" s="125">
        <f>IF(Ctas_Pagar!B27="","",Ctas_Pagar!B27)</f>
        <v/>
      </c>
      <c r="C83" s="124">
        <f>IF(Ctas_Pagar!C27="","",Ctas_Pagar!C27)</f>
        <v/>
      </c>
      <c r="D83" s="188">
        <f>IF(Ctas_Pagar!D27="","",Ctas_Pagar!D27)</f>
        <v/>
      </c>
      <c r="E83" s="188">
        <f>IF(Ctas_Pagar!E27="","",Ctas_Pagar!E27)</f>
        <v/>
      </c>
      <c r="F83" s="188">
        <f>IF(Ctas_Pagar!F27="","",Ctas_Pagar!F27)</f>
        <v/>
      </c>
      <c r="G83" s="125">
        <f>IF(Ctas_Pagar!G27="","",Ctas_Pagar!G27)</f>
        <v/>
      </c>
      <c r="H83" s="124">
        <f>IF(Ctas_Pagar!H27="","",Ctas_Pagar!H27)</f>
        <v/>
      </c>
      <c r="I83" s="124">
        <f>IF(Ctas_Pagar!I27="","",Ctas_Pagar!I27)</f>
        <v/>
      </c>
      <c r="J83" s="124">
        <f>IF(Ctas_Pagar!K27="","",Ctas_Pagar!K27)</f>
        <v/>
      </c>
    </row>
    <row r="84" hidden="1" ht="16" customHeight="1" s="22">
      <c r="A84" s="127">
        <f>IF(Ctas_Pagar!A28="","",Ctas_Pagar!A28)</f>
        <v/>
      </c>
      <c r="B84" s="128">
        <f>IF(Ctas_Pagar!B28="","",Ctas_Pagar!B28)</f>
        <v/>
      </c>
      <c r="C84" s="127">
        <f>IF(Ctas_Pagar!C28="","",Ctas_Pagar!C28)</f>
        <v/>
      </c>
      <c r="D84" s="189">
        <f>IF(Ctas_Pagar!D28="","",Ctas_Pagar!D28)</f>
        <v/>
      </c>
      <c r="E84" s="189">
        <f>IF(Ctas_Pagar!E28="","",Ctas_Pagar!E28)</f>
        <v/>
      </c>
      <c r="F84" s="189">
        <f>IF(Ctas_Pagar!F28="","",Ctas_Pagar!F28)</f>
        <v/>
      </c>
      <c r="G84" s="128">
        <f>IF(Ctas_Pagar!G28="","",Ctas_Pagar!G28)</f>
        <v/>
      </c>
      <c r="H84" s="127">
        <f>IF(Ctas_Pagar!H28="","",Ctas_Pagar!H28)</f>
        <v/>
      </c>
      <c r="I84" s="127">
        <f>IF(Ctas_Pagar!I28="","",Ctas_Pagar!I28)</f>
        <v/>
      </c>
      <c r="J84" s="127">
        <f>IF(Ctas_Pagar!K28="","",Ctas_Pagar!K28)</f>
        <v/>
      </c>
    </row>
    <row r="85" hidden="1" ht="16" customHeight="1" s="22">
      <c r="A85" s="124">
        <f>IF(Ctas_Pagar!A29="","",Ctas_Pagar!A29)</f>
        <v/>
      </c>
      <c r="B85" s="125">
        <f>IF(Ctas_Pagar!B29="","",Ctas_Pagar!B29)</f>
        <v/>
      </c>
      <c r="C85" s="124">
        <f>IF(Ctas_Pagar!C29="","",Ctas_Pagar!C29)</f>
        <v/>
      </c>
      <c r="D85" s="188">
        <f>IF(Ctas_Pagar!D29="","",Ctas_Pagar!D29)</f>
        <v/>
      </c>
      <c r="E85" s="188">
        <f>IF(Ctas_Pagar!E29="","",Ctas_Pagar!E29)</f>
        <v/>
      </c>
      <c r="F85" s="188">
        <f>IF(Ctas_Pagar!F29="","",Ctas_Pagar!F29)</f>
        <v/>
      </c>
      <c r="G85" s="125">
        <f>IF(Ctas_Pagar!G29="","",Ctas_Pagar!G29)</f>
        <v/>
      </c>
      <c r="H85" s="124">
        <f>IF(Ctas_Pagar!H29="","",Ctas_Pagar!H29)</f>
        <v/>
      </c>
      <c r="I85" s="124">
        <f>IF(Ctas_Pagar!I29="","",Ctas_Pagar!I29)</f>
        <v/>
      </c>
      <c r="J85" s="124">
        <f>IF(Ctas_Pagar!K29="","",Ctas_Pagar!K29)</f>
        <v/>
      </c>
    </row>
    <row r="86" hidden="1" ht="16" customHeight="1" s="22">
      <c r="A86" s="127">
        <f>IF(Ctas_Pagar!A30="","",Ctas_Pagar!A30)</f>
        <v/>
      </c>
      <c r="B86" s="128">
        <f>IF(Ctas_Pagar!B30="","",Ctas_Pagar!B30)</f>
        <v/>
      </c>
      <c r="C86" s="127">
        <f>IF(Ctas_Pagar!C30="","",Ctas_Pagar!C30)</f>
        <v/>
      </c>
      <c r="D86" s="189">
        <f>IF(Ctas_Pagar!D30="","",Ctas_Pagar!D30)</f>
        <v/>
      </c>
      <c r="E86" s="189">
        <f>IF(Ctas_Pagar!E30="","",Ctas_Pagar!E30)</f>
        <v/>
      </c>
      <c r="F86" s="189">
        <f>IF(Ctas_Pagar!F30="","",Ctas_Pagar!F30)</f>
        <v/>
      </c>
      <c r="G86" s="128">
        <f>IF(Ctas_Pagar!G30="","",Ctas_Pagar!G30)</f>
        <v/>
      </c>
      <c r="H86" s="127">
        <f>IF(Ctas_Pagar!H30="","",Ctas_Pagar!H30)</f>
        <v/>
      </c>
      <c r="I86" s="127">
        <f>IF(Ctas_Pagar!I30="","",Ctas_Pagar!I30)</f>
        <v/>
      </c>
      <c r="J86" s="127">
        <f>IF(Ctas_Pagar!K30="","",Ctas_Pagar!K30)</f>
        <v/>
      </c>
    </row>
    <row r="87" hidden="1" ht="16" customHeight="1" s="22">
      <c r="A87" s="124">
        <f>IF(Ctas_Pagar!A31="","",Ctas_Pagar!A31)</f>
        <v/>
      </c>
      <c r="B87" s="125">
        <f>IF(Ctas_Pagar!B31="","",Ctas_Pagar!B31)</f>
        <v/>
      </c>
      <c r="C87" s="124">
        <f>IF(Ctas_Pagar!C31="","",Ctas_Pagar!C31)</f>
        <v/>
      </c>
      <c r="D87" s="188">
        <f>IF(Ctas_Pagar!D31="","",Ctas_Pagar!D31)</f>
        <v/>
      </c>
      <c r="E87" s="188">
        <f>IF(Ctas_Pagar!E31="","",Ctas_Pagar!E31)</f>
        <v/>
      </c>
      <c r="F87" s="188">
        <f>IF(Ctas_Pagar!F31="","",Ctas_Pagar!F31)</f>
        <v/>
      </c>
      <c r="G87" s="125">
        <f>IF(Ctas_Pagar!G31="","",Ctas_Pagar!G31)</f>
        <v/>
      </c>
      <c r="H87" s="124">
        <f>IF(Ctas_Pagar!H31="","",Ctas_Pagar!H31)</f>
        <v/>
      </c>
      <c r="I87" s="124">
        <f>IF(Ctas_Pagar!I31="","",Ctas_Pagar!I31)</f>
        <v/>
      </c>
      <c r="J87" s="124">
        <f>IF(Ctas_Pagar!K31="","",Ctas_Pagar!K31)</f>
        <v/>
      </c>
    </row>
    <row r="88" hidden="1" ht="16" customHeight="1" s="22">
      <c r="A88" s="127">
        <f>IF(Ctas_Pagar!A32="","",Ctas_Pagar!A32)</f>
        <v/>
      </c>
      <c r="B88" s="128">
        <f>IF(Ctas_Pagar!B32="","",Ctas_Pagar!B32)</f>
        <v/>
      </c>
      <c r="C88" s="127">
        <f>IF(Ctas_Pagar!C32="","",Ctas_Pagar!C32)</f>
        <v/>
      </c>
      <c r="D88" s="189">
        <f>IF(Ctas_Pagar!D32="","",Ctas_Pagar!D32)</f>
        <v/>
      </c>
      <c r="E88" s="189">
        <f>IF(Ctas_Pagar!E32="","",Ctas_Pagar!E32)</f>
        <v/>
      </c>
      <c r="F88" s="189">
        <f>IF(Ctas_Pagar!F32="","",Ctas_Pagar!F32)</f>
        <v/>
      </c>
      <c r="G88" s="128">
        <f>IF(Ctas_Pagar!G32="","",Ctas_Pagar!G32)</f>
        <v/>
      </c>
      <c r="H88" s="127">
        <f>IF(Ctas_Pagar!H32="","",Ctas_Pagar!H32)</f>
        <v/>
      </c>
      <c r="I88" s="127">
        <f>IF(Ctas_Pagar!I32="","",Ctas_Pagar!I32)</f>
        <v/>
      </c>
      <c r="J88" s="127">
        <f>IF(Ctas_Pagar!K32="","",Ctas_Pagar!K32)</f>
        <v/>
      </c>
    </row>
    <row r="89" hidden="1" ht="16" customHeight="1" s="22">
      <c r="A89" s="124">
        <f>IF(Ctas_Pagar!A33="","",Ctas_Pagar!A33)</f>
        <v/>
      </c>
      <c r="B89" s="125">
        <f>IF(Ctas_Pagar!B33="","",Ctas_Pagar!B33)</f>
        <v/>
      </c>
      <c r="C89" s="124">
        <f>IF(Ctas_Pagar!C33="","",Ctas_Pagar!C33)</f>
        <v/>
      </c>
      <c r="D89" s="188">
        <f>IF(Ctas_Pagar!D33="","",Ctas_Pagar!D33)</f>
        <v/>
      </c>
      <c r="E89" s="188">
        <f>IF(Ctas_Pagar!E33="","",Ctas_Pagar!E33)</f>
        <v/>
      </c>
      <c r="F89" s="188">
        <f>IF(Ctas_Pagar!F33="","",Ctas_Pagar!F33)</f>
        <v/>
      </c>
      <c r="G89" s="125">
        <f>IF(Ctas_Pagar!G33="","",Ctas_Pagar!G33)</f>
        <v/>
      </c>
      <c r="H89" s="124">
        <f>IF(Ctas_Pagar!H33="","",Ctas_Pagar!H33)</f>
        <v/>
      </c>
      <c r="I89" s="124">
        <f>IF(Ctas_Pagar!I33="","",Ctas_Pagar!I33)</f>
        <v/>
      </c>
      <c r="J89" s="124">
        <f>IF(Ctas_Pagar!K33="","",Ctas_Pagar!K33)</f>
        <v/>
      </c>
    </row>
    <row r="90" hidden="1" ht="16" customHeight="1" s="22">
      <c r="A90" s="127">
        <f>IF(Ctas_Pagar!A34="","",Ctas_Pagar!A34)</f>
        <v/>
      </c>
      <c r="B90" s="128">
        <f>IF(Ctas_Pagar!B34="","",Ctas_Pagar!B34)</f>
        <v/>
      </c>
      <c r="C90" s="127">
        <f>IF(Ctas_Pagar!C34="","",Ctas_Pagar!C34)</f>
        <v/>
      </c>
      <c r="D90" s="189">
        <f>IF(Ctas_Pagar!D34="","",Ctas_Pagar!D34)</f>
        <v/>
      </c>
      <c r="E90" s="189">
        <f>IF(Ctas_Pagar!E34="","",Ctas_Pagar!E34)</f>
        <v/>
      </c>
      <c r="F90" s="189">
        <f>IF(Ctas_Pagar!F34="","",Ctas_Pagar!F34)</f>
        <v/>
      </c>
      <c r="G90" s="128">
        <f>IF(Ctas_Pagar!G34="","",Ctas_Pagar!G34)</f>
        <v/>
      </c>
      <c r="H90" s="127">
        <f>IF(Ctas_Pagar!H34="","",Ctas_Pagar!H34)</f>
        <v/>
      </c>
      <c r="I90" s="127">
        <f>IF(Ctas_Pagar!I34="","",Ctas_Pagar!I34)</f>
        <v/>
      </c>
      <c r="J90" s="127">
        <f>IF(Ctas_Pagar!K34="","",Ctas_Pagar!K34)</f>
        <v/>
      </c>
    </row>
    <row r="91" hidden="1" ht="16" customHeight="1" s="22">
      <c r="A91" s="124">
        <f>IF(Ctas_Pagar!A35="","",Ctas_Pagar!A35)</f>
        <v/>
      </c>
      <c r="B91" s="125">
        <f>IF(Ctas_Pagar!B35="","",Ctas_Pagar!B35)</f>
        <v/>
      </c>
      <c r="C91" s="124">
        <f>IF(Ctas_Pagar!C35="","",Ctas_Pagar!C35)</f>
        <v/>
      </c>
      <c r="D91" s="188">
        <f>IF(Ctas_Pagar!D35="","",Ctas_Pagar!D35)</f>
        <v/>
      </c>
      <c r="E91" s="188">
        <f>IF(Ctas_Pagar!E35="","",Ctas_Pagar!E35)</f>
        <v/>
      </c>
      <c r="F91" s="188">
        <f>IF(Ctas_Pagar!F35="","",Ctas_Pagar!F35)</f>
        <v/>
      </c>
      <c r="G91" s="125">
        <f>IF(Ctas_Pagar!G35="","",Ctas_Pagar!G35)</f>
        <v/>
      </c>
      <c r="H91" s="124">
        <f>IF(Ctas_Pagar!H35="","",Ctas_Pagar!H35)</f>
        <v/>
      </c>
      <c r="I91" s="124">
        <f>IF(Ctas_Pagar!I35="","",Ctas_Pagar!I35)</f>
        <v/>
      </c>
      <c r="J91" s="124">
        <f>IF(Ctas_Pagar!K35="","",Ctas_Pagar!K35)</f>
        <v/>
      </c>
    </row>
    <row r="92" hidden="1" ht="16" customHeight="1" s="22">
      <c r="A92" s="127">
        <f>IF(Ctas_Pagar!A36="","",Ctas_Pagar!A36)</f>
        <v/>
      </c>
      <c r="B92" s="128">
        <f>IF(Ctas_Pagar!B36="","",Ctas_Pagar!B36)</f>
        <v/>
      </c>
      <c r="C92" s="127">
        <f>IF(Ctas_Pagar!C36="","",Ctas_Pagar!C36)</f>
        <v/>
      </c>
      <c r="D92" s="189">
        <f>IF(Ctas_Pagar!D36="","",Ctas_Pagar!D36)</f>
        <v/>
      </c>
      <c r="E92" s="189">
        <f>IF(Ctas_Pagar!E36="","",Ctas_Pagar!E36)</f>
        <v/>
      </c>
      <c r="F92" s="189">
        <f>IF(Ctas_Pagar!F36="","",Ctas_Pagar!F36)</f>
        <v/>
      </c>
      <c r="G92" s="128">
        <f>IF(Ctas_Pagar!G36="","",Ctas_Pagar!G36)</f>
        <v/>
      </c>
      <c r="H92" s="127">
        <f>IF(Ctas_Pagar!H36="","",Ctas_Pagar!H36)</f>
        <v/>
      </c>
      <c r="I92" s="127">
        <f>IF(Ctas_Pagar!I36="","",Ctas_Pagar!I36)</f>
        <v/>
      </c>
      <c r="J92" s="127">
        <f>IF(Ctas_Pagar!K36="","",Ctas_Pagar!K36)</f>
        <v/>
      </c>
    </row>
    <row r="93" hidden="1" ht="16" customHeight="1" s="22">
      <c r="A93" s="124">
        <f>IF(Ctas_Pagar!A37="","",Ctas_Pagar!A37)</f>
        <v/>
      </c>
      <c r="B93" s="125">
        <f>IF(Ctas_Pagar!B37="","",Ctas_Pagar!B37)</f>
        <v/>
      </c>
      <c r="C93" s="124">
        <f>IF(Ctas_Pagar!C37="","",Ctas_Pagar!C37)</f>
        <v/>
      </c>
      <c r="D93" s="188">
        <f>IF(Ctas_Pagar!D37="","",Ctas_Pagar!D37)</f>
        <v/>
      </c>
      <c r="E93" s="188">
        <f>IF(Ctas_Pagar!E37="","",Ctas_Pagar!E37)</f>
        <v/>
      </c>
      <c r="F93" s="188">
        <f>IF(Ctas_Pagar!F37="","",Ctas_Pagar!F37)</f>
        <v/>
      </c>
      <c r="G93" s="125">
        <f>IF(Ctas_Pagar!G37="","",Ctas_Pagar!G37)</f>
        <v/>
      </c>
      <c r="H93" s="124">
        <f>IF(Ctas_Pagar!H37="","",Ctas_Pagar!H37)</f>
        <v/>
      </c>
      <c r="I93" s="124">
        <f>IF(Ctas_Pagar!I37="","",Ctas_Pagar!I37)</f>
        <v/>
      </c>
      <c r="J93" s="124">
        <f>IF(Ctas_Pagar!K37="","",Ctas_Pagar!K37)</f>
        <v/>
      </c>
    </row>
    <row r="94" hidden="1" ht="16" customHeight="1" s="22">
      <c r="A94" s="127">
        <f>IF(Ctas_Pagar!A38="","",Ctas_Pagar!A38)</f>
        <v/>
      </c>
      <c r="B94" s="128">
        <f>IF(Ctas_Pagar!B38="","",Ctas_Pagar!B38)</f>
        <v/>
      </c>
      <c r="C94" s="127">
        <f>IF(Ctas_Pagar!C38="","",Ctas_Pagar!C38)</f>
        <v/>
      </c>
      <c r="D94" s="189">
        <f>IF(Ctas_Pagar!D38="","",Ctas_Pagar!D38)</f>
        <v/>
      </c>
      <c r="E94" s="189">
        <f>IF(Ctas_Pagar!E38="","",Ctas_Pagar!E38)</f>
        <v/>
      </c>
      <c r="F94" s="189">
        <f>IF(Ctas_Pagar!F38="","",Ctas_Pagar!F38)</f>
        <v/>
      </c>
      <c r="G94" s="128">
        <f>IF(Ctas_Pagar!G38="","",Ctas_Pagar!G38)</f>
        <v/>
      </c>
      <c r="H94" s="127">
        <f>IF(Ctas_Pagar!H38="","",Ctas_Pagar!H38)</f>
        <v/>
      </c>
      <c r="I94" s="127">
        <f>IF(Ctas_Pagar!I38="","",Ctas_Pagar!I38)</f>
        <v/>
      </c>
      <c r="J94" s="127">
        <f>IF(Ctas_Pagar!K38="","",Ctas_Pagar!K38)</f>
        <v/>
      </c>
    </row>
    <row r="95" hidden="1" ht="16" customHeight="1" s="22">
      <c r="A95" s="124">
        <f>IF(Ctas_Pagar!A39="","",Ctas_Pagar!A39)</f>
        <v/>
      </c>
      <c r="B95" s="125">
        <f>IF(Ctas_Pagar!B39="","",Ctas_Pagar!B39)</f>
        <v/>
      </c>
      <c r="C95" s="124">
        <f>IF(Ctas_Pagar!C39="","",Ctas_Pagar!C39)</f>
        <v/>
      </c>
      <c r="D95" s="188">
        <f>IF(Ctas_Pagar!D39="","",Ctas_Pagar!D39)</f>
        <v/>
      </c>
      <c r="E95" s="188">
        <f>IF(Ctas_Pagar!E39="","",Ctas_Pagar!E39)</f>
        <v/>
      </c>
      <c r="F95" s="188">
        <f>IF(Ctas_Pagar!F39="","",Ctas_Pagar!F39)</f>
        <v/>
      </c>
      <c r="G95" s="125">
        <f>IF(Ctas_Pagar!G39="","",Ctas_Pagar!G39)</f>
        <v/>
      </c>
      <c r="H95" s="124">
        <f>IF(Ctas_Pagar!H39="","",Ctas_Pagar!H39)</f>
        <v/>
      </c>
      <c r="I95" s="124">
        <f>IF(Ctas_Pagar!I39="","",Ctas_Pagar!I39)</f>
        <v/>
      </c>
      <c r="J95" s="124">
        <f>IF(Ctas_Pagar!K39="","",Ctas_Pagar!K39)</f>
        <v/>
      </c>
    </row>
    <row r="96" hidden="1" ht="16" customHeight="1" s="22">
      <c r="A96" s="127">
        <f>IF(Ctas_Pagar!A40="","",Ctas_Pagar!A40)</f>
        <v/>
      </c>
      <c r="B96" s="128">
        <f>IF(Ctas_Pagar!B40="","",Ctas_Pagar!B40)</f>
        <v/>
      </c>
      <c r="C96" s="127">
        <f>IF(Ctas_Pagar!C40="","",Ctas_Pagar!C40)</f>
        <v/>
      </c>
      <c r="D96" s="189">
        <f>IF(Ctas_Pagar!D40="","",Ctas_Pagar!D40)</f>
        <v/>
      </c>
      <c r="E96" s="189">
        <f>IF(Ctas_Pagar!E40="","",Ctas_Pagar!E40)</f>
        <v/>
      </c>
      <c r="F96" s="189">
        <f>IF(Ctas_Pagar!F40="","",Ctas_Pagar!F40)</f>
        <v/>
      </c>
      <c r="G96" s="128">
        <f>IF(Ctas_Pagar!G40="","",Ctas_Pagar!G40)</f>
        <v/>
      </c>
      <c r="H96" s="127">
        <f>IF(Ctas_Pagar!H40="","",Ctas_Pagar!H40)</f>
        <v/>
      </c>
      <c r="I96" s="127">
        <f>IF(Ctas_Pagar!I40="","",Ctas_Pagar!I40)</f>
        <v/>
      </c>
      <c r="J96" s="127">
        <f>IF(Ctas_Pagar!K40="","",Ctas_Pagar!K40)</f>
        <v/>
      </c>
    </row>
    <row r="97" hidden="1" ht="16" customHeight="1" s="22">
      <c r="A97" s="124">
        <f>IF(Ctas_Pagar!A41="","",Ctas_Pagar!A41)</f>
        <v/>
      </c>
      <c r="B97" s="125">
        <f>IF(Ctas_Pagar!B41="","",Ctas_Pagar!B41)</f>
        <v/>
      </c>
      <c r="C97" s="124">
        <f>IF(Ctas_Pagar!C41="","",Ctas_Pagar!C41)</f>
        <v/>
      </c>
      <c r="D97" s="188">
        <f>IF(Ctas_Pagar!D41="","",Ctas_Pagar!D41)</f>
        <v/>
      </c>
      <c r="E97" s="188">
        <f>IF(Ctas_Pagar!E41="","",Ctas_Pagar!E41)</f>
        <v/>
      </c>
      <c r="F97" s="188">
        <f>IF(Ctas_Pagar!F41="","",Ctas_Pagar!F41)</f>
        <v/>
      </c>
      <c r="G97" s="125">
        <f>IF(Ctas_Pagar!G41="","",Ctas_Pagar!G41)</f>
        <v/>
      </c>
      <c r="H97" s="124">
        <f>IF(Ctas_Pagar!H41="","",Ctas_Pagar!H41)</f>
        <v/>
      </c>
      <c r="I97" s="124">
        <f>IF(Ctas_Pagar!I41="","",Ctas_Pagar!I41)</f>
        <v/>
      </c>
      <c r="J97" s="124">
        <f>IF(Ctas_Pagar!K41="","",Ctas_Pagar!K41)</f>
        <v/>
      </c>
    </row>
    <row r="98" hidden="1" ht="16" customHeight="1" s="22">
      <c r="A98" s="127">
        <f>IF(Ctas_Pagar!A42="","",Ctas_Pagar!A42)</f>
        <v/>
      </c>
      <c r="B98" s="128">
        <f>IF(Ctas_Pagar!B42="","",Ctas_Pagar!B42)</f>
        <v/>
      </c>
      <c r="C98" s="127">
        <f>IF(Ctas_Pagar!C42="","",Ctas_Pagar!C42)</f>
        <v/>
      </c>
      <c r="D98" s="189">
        <f>IF(Ctas_Pagar!D42="","",Ctas_Pagar!D42)</f>
        <v/>
      </c>
      <c r="E98" s="189">
        <f>IF(Ctas_Pagar!E42="","",Ctas_Pagar!E42)</f>
        <v/>
      </c>
      <c r="F98" s="189">
        <f>IF(Ctas_Pagar!F42="","",Ctas_Pagar!F42)</f>
        <v/>
      </c>
      <c r="G98" s="128">
        <f>IF(Ctas_Pagar!G42="","",Ctas_Pagar!G42)</f>
        <v/>
      </c>
      <c r="H98" s="127">
        <f>IF(Ctas_Pagar!H42="","",Ctas_Pagar!H42)</f>
        <v/>
      </c>
      <c r="I98" s="127">
        <f>IF(Ctas_Pagar!I42="","",Ctas_Pagar!I42)</f>
        <v/>
      </c>
      <c r="J98" s="127">
        <f>IF(Ctas_Pagar!K42="","",Ctas_Pagar!K42)</f>
        <v/>
      </c>
    </row>
    <row r="99" hidden="1" ht="16" customHeight="1" s="22">
      <c r="A99" s="124">
        <f>IF(Ctas_Pagar!A43="","",Ctas_Pagar!A43)</f>
        <v/>
      </c>
      <c r="B99" s="125">
        <f>IF(Ctas_Pagar!B43="","",Ctas_Pagar!B43)</f>
        <v/>
      </c>
      <c r="C99" s="124">
        <f>IF(Ctas_Pagar!C43="","",Ctas_Pagar!C43)</f>
        <v/>
      </c>
      <c r="D99" s="188">
        <f>IF(Ctas_Pagar!D43="","",Ctas_Pagar!D43)</f>
        <v/>
      </c>
      <c r="E99" s="188">
        <f>IF(Ctas_Pagar!E43="","",Ctas_Pagar!E43)</f>
        <v/>
      </c>
      <c r="F99" s="188">
        <f>IF(Ctas_Pagar!F43="","",Ctas_Pagar!F43)</f>
        <v/>
      </c>
      <c r="G99" s="125">
        <f>IF(Ctas_Pagar!G43="","",Ctas_Pagar!G43)</f>
        <v/>
      </c>
      <c r="H99" s="124">
        <f>IF(Ctas_Pagar!H43="","",Ctas_Pagar!H43)</f>
        <v/>
      </c>
      <c r="I99" s="124">
        <f>IF(Ctas_Pagar!I43="","",Ctas_Pagar!I43)</f>
        <v/>
      </c>
      <c r="J99" s="124">
        <f>IF(Ctas_Pagar!K43="","",Ctas_Pagar!K43)</f>
        <v/>
      </c>
    </row>
    <row r="100" hidden="1" ht="16" customHeight="1" s="22">
      <c r="A100" s="127">
        <f>IF(Ctas_Pagar!A44="","",Ctas_Pagar!A44)</f>
        <v/>
      </c>
      <c r="B100" s="128">
        <f>IF(Ctas_Pagar!B44="","",Ctas_Pagar!B44)</f>
        <v/>
      </c>
      <c r="C100" s="127">
        <f>IF(Ctas_Pagar!C44="","",Ctas_Pagar!C44)</f>
        <v/>
      </c>
      <c r="D100" s="189">
        <f>IF(Ctas_Pagar!D44="","",Ctas_Pagar!D44)</f>
        <v/>
      </c>
      <c r="E100" s="189">
        <f>IF(Ctas_Pagar!E44="","",Ctas_Pagar!E44)</f>
        <v/>
      </c>
      <c r="F100" s="189">
        <f>IF(Ctas_Pagar!F44="","",Ctas_Pagar!F44)</f>
        <v/>
      </c>
      <c r="G100" s="128">
        <f>IF(Ctas_Pagar!G44="","",Ctas_Pagar!G44)</f>
        <v/>
      </c>
      <c r="H100" s="127">
        <f>IF(Ctas_Pagar!H44="","",Ctas_Pagar!H44)</f>
        <v/>
      </c>
      <c r="I100" s="127">
        <f>IF(Ctas_Pagar!I44="","",Ctas_Pagar!I44)</f>
        <v/>
      </c>
      <c r="J100" s="127">
        <f>IF(Ctas_Pagar!K44="","",Ctas_Pagar!K44)</f>
        <v/>
      </c>
    </row>
    <row r="101" hidden="1" ht="16" customHeight="1" s="22">
      <c r="A101" s="124">
        <f>IF(Ctas_Pagar!A45="","",Ctas_Pagar!A45)</f>
        <v/>
      </c>
      <c r="B101" s="125">
        <f>IF(Ctas_Pagar!B45="","",Ctas_Pagar!B45)</f>
        <v/>
      </c>
      <c r="C101" s="124">
        <f>IF(Ctas_Pagar!C45="","",Ctas_Pagar!C45)</f>
        <v/>
      </c>
      <c r="D101" s="188">
        <f>IF(Ctas_Pagar!D45="","",Ctas_Pagar!D45)</f>
        <v/>
      </c>
      <c r="E101" s="188">
        <f>IF(Ctas_Pagar!E45="","",Ctas_Pagar!E45)</f>
        <v/>
      </c>
      <c r="F101" s="188">
        <f>IF(Ctas_Pagar!F45="","",Ctas_Pagar!F45)</f>
        <v/>
      </c>
      <c r="G101" s="125">
        <f>IF(Ctas_Pagar!G45="","",Ctas_Pagar!G45)</f>
        <v/>
      </c>
      <c r="H101" s="124">
        <f>IF(Ctas_Pagar!H45="","",Ctas_Pagar!H45)</f>
        <v/>
      </c>
      <c r="I101" s="124">
        <f>IF(Ctas_Pagar!I45="","",Ctas_Pagar!I45)</f>
        <v/>
      </c>
      <c r="J101" s="124">
        <f>IF(Ctas_Pagar!K45="","",Ctas_Pagar!K45)</f>
        <v/>
      </c>
    </row>
    <row r="102" hidden="1" ht="16" customHeight="1" s="22">
      <c r="A102" s="127">
        <f>IF(Ctas_Pagar!A46="","",Ctas_Pagar!A46)</f>
        <v/>
      </c>
      <c r="B102" s="128">
        <f>IF(Ctas_Pagar!B46="","",Ctas_Pagar!B46)</f>
        <v/>
      </c>
      <c r="C102" s="127">
        <f>IF(Ctas_Pagar!C46="","",Ctas_Pagar!C46)</f>
        <v/>
      </c>
      <c r="D102" s="189">
        <f>IF(Ctas_Pagar!D46="","",Ctas_Pagar!D46)</f>
        <v/>
      </c>
      <c r="E102" s="189">
        <f>IF(Ctas_Pagar!E46="","",Ctas_Pagar!E46)</f>
        <v/>
      </c>
      <c r="F102" s="189">
        <f>IF(Ctas_Pagar!F46="","",Ctas_Pagar!F46)</f>
        <v/>
      </c>
      <c r="G102" s="128">
        <f>IF(Ctas_Pagar!G46="","",Ctas_Pagar!G46)</f>
        <v/>
      </c>
      <c r="H102" s="127">
        <f>IF(Ctas_Pagar!H46="","",Ctas_Pagar!H46)</f>
        <v/>
      </c>
      <c r="I102" s="127">
        <f>IF(Ctas_Pagar!I46="","",Ctas_Pagar!I46)</f>
        <v/>
      </c>
      <c r="J102" s="127">
        <f>IF(Ctas_Pagar!K46="","",Ctas_Pagar!K46)</f>
        <v/>
      </c>
    </row>
    <row r="103" hidden="1" ht="16" customHeight="1" s="22">
      <c r="A103" s="124">
        <f>IF(Ctas_Pagar!A47="","",Ctas_Pagar!A47)</f>
        <v/>
      </c>
      <c r="B103" s="125">
        <f>IF(Ctas_Pagar!B47="","",Ctas_Pagar!B47)</f>
        <v/>
      </c>
      <c r="C103" s="124">
        <f>IF(Ctas_Pagar!C47="","",Ctas_Pagar!C47)</f>
        <v/>
      </c>
      <c r="D103" s="188">
        <f>IF(Ctas_Pagar!D47="","",Ctas_Pagar!D47)</f>
        <v/>
      </c>
      <c r="E103" s="188">
        <f>IF(Ctas_Pagar!E47="","",Ctas_Pagar!E47)</f>
        <v/>
      </c>
      <c r="F103" s="188">
        <f>IF(Ctas_Pagar!F47="","",Ctas_Pagar!F47)</f>
        <v/>
      </c>
      <c r="G103" s="125">
        <f>IF(Ctas_Pagar!G47="","",Ctas_Pagar!G47)</f>
        <v/>
      </c>
      <c r="H103" s="124">
        <f>IF(Ctas_Pagar!H47="","",Ctas_Pagar!H47)</f>
        <v/>
      </c>
      <c r="I103" s="124">
        <f>IF(Ctas_Pagar!I47="","",Ctas_Pagar!I47)</f>
        <v/>
      </c>
      <c r="J103" s="124">
        <f>IF(Ctas_Pagar!K47="","",Ctas_Pagar!K47)</f>
        <v/>
      </c>
    </row>
    <row r="104" hidden="1" ht="16" customHeight="1" s="22">
      <c r="A104" s="127">
        <f>IF(Ctas_Pagar!A48="","",Ctas_Pagar!A48)</f>
        <v/>
      </c>
      <c r="B104" s="128">
        <f>IF(Ctas_Pagar!B48="","",Ctas_Pagar!B48)</f>
        <v/>
      </c>
      <c r="C104" s="127">
        <f>IF(Ctas_Pagar!C48="","",Ctas_Pagar!C48)</f>
        <v/>
      </c>
      <c r="D104" s="189">
        <f>IF(Ctas_Pagar!D48="","",Ctas_Pagar!D48)</f>
        <v/>
      </c>
      <c r="E104" s="189">
        <f>IF(Ctas_Pagar!E48="","",Ctas_Pagar!E48)</f>
        <v/>
      </c>
      <c r="F104" s="189">
        <f>IF(Ctas_Pagar!F48="","",Ctas_Pagar!F48)</f>
        <v/>
      </c>
      <c r="G104" s="128">
        <f>IF(Ctas_Pagar!G48="","",Ctas_Pagar!G48)</f>
        <v/>
      </c>
      <c r="H104" s="127">
        <f>IF(Ctas_Pagar!H48="","",Ctas_Pagar!H48)</f>
        <v/>
      </c>
      <c r="I104" s="127">
        <f>IF(Ctas_Pagar!I48="","",Ctas_Pagar!I48)</f>
        <v/>
      </c>
      <c r="J104" s="127">
        <f>IF(Ctas_Pagar!K48="","",Ctas_Pagar!K48)</f>
        <v/>
      </c>
    </row>
    <row r="105" hidden="1" ht="16" customHeight="1" s="22">
      <c r="A105" s="124">
        <f>IF(Ctas_Pagar!A49="","",Ctas_Pagar!A49)</f>
        <v/>
      </c>
      <c r="B105" s="125">
        <f>IF(Ctas_Pagar!B49="","",Ctas_Pagar!B49)</f>
        <v/>
      </c>
      <c r="C105" s="124">
        <f>IF(Ctas_Pagar!C49="","",Ctas_Pagar!C49)</f>
        <v/>
      </c>
      <c r="D105" s="188">
        <f>IF(Ctas_Pagar!D49="","",Ctas_Pagar!D49)</f>
        <v/>
      </c>
      <c r="E105" s="188">
        <f>IF(Ctas_Pagar!E49="","",Ctas_Pagar!E49)</f>
        <v/>
      </c>
      <c r="F105" s="188">
        <f>IF(Ctas_Pagar!F49="","",Ctas_Pagar!F49)</f>
        <v/>
      </c>
      <c r="G105" s="125">
        <f>IF(Ctas_Pagar!G49="","",Ctas_Pagar!G49)</f>
        <v/>
      </c>
      <c r="H105" s="124">
        <f>IF(Ctas_Pagar!H49="","",Ctas_Pagar!H49)</f>
        <v/>
      </c>
      <c r="I105" s="124">
        <f>IF(Ctas_Pagar!I49="","",Ctas_Pagar!I49)</f>
        <v/>
      </c>
      <c r="J105" s="124">
        <f>IF(Ctas_Pagar!K49="","",Ctas_Pagar!K49)</f>
        <v/>
      </c>
    </row>
    <row r="106" hidden="1" ht="16" customHeight="1" s="22">
      <c r="A106" s="127">
        <f>IF(Ctas_Pagar!A50="","",Ctas_Pagar!A50)</f>
        <v/>
      </c>
      <c r="B106" s="128">
        <f>IF(Ctas_Pagar!B50="","",Ctas_Pagar!B50)</f>
        <v/>
      </c>
      <c r="C106" s="127">
        <f>IF(Ctas_Pagar!C50="","",Ctas_Pagar!C50)</f>
        <v/>
      </c>
      <c r="D106" s="189">
        <f>IF(Ctas_Pagar!D50="","",Ctas_Pagar!D50)</f>
        <v/>
      </c>
      <c r="E106" s="189">
        <f>IF(Ctas_Pagar!E50="","",Ctas_Pagar!E50)</f>
        <v/>
      </c>
      <c r="F106" s="189">
        <f>IF(Ctas_Pagar!F50="","",Ctas_Pagar!F50)</f>
        <v/>
      </c>
      <c r="G106" s="128">
        <f>IF(Ctas_Pagar!G50="","",Ctas_Pagar!G50)</f>
        <v/>
      </c>
      <c r="H106" s="127">
        <f>IF(Ctas_Pagar!H50="","",Ctas_Pagar!H50)</f>
        <v/>
      </c>
      <c r="I106" s="127">
        <f>IF(Ctas_Pagar!I50="","",Ctas_Pagar!I50)</f>
        <v/>
      </c>
      <c r="J106" s="127">
        <f>IF(Ctas_Pagar!K50="","",Ctas_Pagar!K50)</f>
        <v/>
      </c>
    </row>
    <row r="107" hidden="1" ht="16" customHeight="1" s="22">
      <c r="A107" s="124">
        <f>IF(Ctas_Pagar!A51="","",Ctas_Pagar!A51)</f>
        <v/>
      </c>
      <c r="B107" s="125">
        <f>IF(Ctas_Pagar!B51="","",Ctas_Pagar!B51)</f>
        <v/>
      </c>
      <c r="C107" s="124">
        <f>IF(Ctas_Pagar!C51="","",Ctas_Pagar!C51)</f>
        <v/>
      </c>
      <c r="D107" s="188">
        <f>IF(Ctas_Pagar!D51="","",Ctas_Pagar!D51)</f>
        <v/>
      </c>
      <c r="E107" s="188">
        <f>IF(Ctas_Pagar!E51="","",Ctas_Pagar!E51)</f>
        <v/>
      </c>
      <c r="F107" s="188">
        <f>IF(Ctas_Pagar!F51="","",Ctas_Pagar!F51)</f>
        <v/>
      </c>
      <c r="G107" s="125">
        <f>IF(Ctas_Pagar!G51="","",Ctas_Pagar!G51)</f>
        <v/>
      </c>
      <c r="H107" s="124">
        <f>IF(Ctas_Pagar!H51="","",Ctas_Pagar!H51)</f>
        <v/>
      </c>
      <c r="I107" s="124">
        <f>IF(Ctas_Pagar!I51="","",Ctas_Pagar!I51)</f>
        <v/>
      </c>
      <c r="J107" s="124">
        <f>IF(Ctas_Pagar!K51="","",Ctas_Pagar!K51)</f>
        <v/>
      </c>
    </row>
    <row r="108" hidden="1" ht="16" customHeight="1" s="22">
      <c r="A108" s="127">
        <f>IF(Ctas_Pagar!A52="","",Ctas_Pagar!A52)</f>
        <v/>
      </c>
      <c r="B108" s="128">
        <f>IF(Ctas_Pagar!B52="","",Ctas_Pagar!B52)</f>
        <v/>
      </c>
      <c r="C108" s="127">
        <f>IF(Ctas_Pagar!C52="","",Ctas_Pagar!C52)</f>
        <v/>
      </c>
      <c r="D108" s="189">
        <f>IF(Ctas_Pagar!D52="","",Ctas_Pagar!D52)</f>
        <v/>
      </c>
      <c r="E108" s="189">
        <f>IF(Ctas_Pagar!E52="","",Ctas_Pagar!E52)</f>
        <v/>
      </c>
      <c r="F108" s="189">
        <f>IF(Ctas_Pagar!F52="","",Ctas_Pagar!F52)</f>
        <v/>
      </c>
      <c r="G108" s="128">
        <f>IF(Ctas_Pagar!G52="","",Ctas_Pagar!G52)</f>
        <v/>
      </c>
      <c r="H108" s="127">
        <f>IF(Ctas_Pagar!H52="","",Ctas_Pagar!H52)</f>
        <v/>
      </c>
      <c r="I108" s="127">
        <f>IF(Ctas_Pagar!I52="","",Ctas_Pagar!I52)</f>
        <v/>
      </c>
      <c r="J108" s="127">
        <f>IF(Ctas_Pagar!K52="","",Ctas_Pagar!K52)</f>
        <v/>
      </c>
    </row>
    <row r="109" hidden="1" ht="16" customHeight="1" s="22">
      <c r="A109" s="124">
        <f>IF(Ctas_Pagar!A53="","",Ctas_Pagar!A53)</f>
        <v/>
      </c>
      <c r="B109" s="125">
        <f>IF(Ctas_Pagar!B53="","",Ctas_Pagar!B53)</f>
        <v/>
      </c>
      <c r="C109" s="124">
        <f>IF(Ctas_Pagar!C53="","",Ctas_Pagar!C53)</f>
        <v/>
      </c>
      <c r="D109" s="188">
        <f>IF(Ctas_Pagar!D53="","",Ctas_Pagar!D53)</f>
        <v/>
      </c>
      <c r="E109" s="188">
        <f>IF(Ctas_Pagar!E53="","",Ctas_Pagar!E53)</f>
        <v/>
      </c>
      <c r="F109" s="188">
        <f>IF(Ctas_Pagar!F53="","",Ctas_Pagar!F53)</f>
        <v/>
      </c>
      <c r="G109" s="125">
        <f>IF(Ctas_Pagar!G53="","",Ctas_Pagar!G53)</f>
        <v/>
      </c>
      <c r="H109" s="124">
        <f>IF(Ctas_Pagar!H53="","",Ctas_Pagar!H53)</f>
        <v/>
      </c>
      <c r="I109" s="124">
        <f>IF(Ctas_Pagar!I53="","",Ctas_Pagar!I53)</f>
        <v/>
      </c>
      <c r="J109" s="124">
        <f>IF(Ctas_Pagar!K53="","",Ctas_Pagar!K53)</f>
        <v/>
      </c>
    </row>
    <row r="110" hidden="1" ht="16" customHeight="1" s="22">
      <c r="A110" s="127">
        <f>IF(Ctas_Pagar!A54="","",Ctas_Pagar!A54)</f>
        <v/>
      </c>
      <c r="B110" s="128">
        <f>IF(Ctas_Pagar!B54="","",Ctas_Pagar!B54)</f>
        <v/>
      </c>
      <c r="C110" s="127">
        <f>IF(Ctas_Pagar!C54="","",Ctas_Pagar!C54)</f>
        <v/>
      </c>
      <c r="D110" s="189">
        <f>IF(Ctas_Pagar!D54="","",Ctas_Pagar!D54)</f>
        <v/>
      </c>
      <c r="E110" s="189">
        <f>IF(Ctas_Pagar!E54="","",Ctas_Pagar!E54)</f>
        <v/>
      </c>
      <c r="F110" s="189">
        <f>IF(Ctas_Pagar!F54="","",Ctas_Pagar!F54)</f>
        <v/>
      </c>
      <c r="G110" s="128">
        <f>IF(Ctas_Pagar!G54="","",Ctas_Pagar!G54)</f>
        <v/>
      </c>
      <c r="H110" s="127">
        <f>IF(Ctas_Pagar!H54="","",Ctas_Pagar!H54)</f>
        <v/>
      </c>
      <c r="I110" s="127">
        <f>IF(Ctas_Pagar!I54="","",Ctas_Pagar!I54)</f>
        <v/>
      </c>
      <c r="J110" s="127">
        <f>IF(Ctas_Pagar!K54="","",Ctas_Pagar!K54)</f>
        <v/>
      </c>
    </row>
  </sheetData>
  <mergeCells count="3">
    <mergeCell ref="A5:J5"/>
    <mergeCell ref="A59:J59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F65CB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1"/>
    <col width="24" customWidth="1" style="22" min="2" max="2"/>
    <col width="18" customWidth="1" style="22" min="3" max="3"/>
    <col width="16" customWidth="1" style="22" min="4" max="4"/>
    <col width="22" customWidth="1" style="22" min="5" max="5"/>
    <col width="16" customWidth="1" style="22" min="6" max="7"/>
    <col width="14" customWidth="1" style="22" min="8" max="8"/>
    <col width="24" customWidth="1" style="22" min="9" max="9"/>
    <col width="16" customWidth="1" style="22" min="10" max="10"/>
  </cols>
  <sheetData>
    <row r="1" ht="6" customHeight="1" s="22">
      <c r="A1" s="132" t="inlineStr">
        <is>
          <t>Base de datos de clientes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👥  BASE DE CLIENTES</t>
        </is>
      </c>
      <c r="Q2" s="135" t="inlineStr">
        <is>
          <t>Módulo CRM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39" t="inlineStr">
        <is>
          <t>ID CLIENTE</t>
        </is>
      </c>
      <c r="B4" s="39" t="inlineStr">
        <is>
          <t>NOMBRE</t>
        </is>
      </c>
      <c r="C4" s="39" t="inlineStr">
        <is>
          <t>TIPO CLIENTE</t>
        </is>
      </c>
      <c r="D4" s="39" t="inlineStr">
        <is>
          <t>ID FISCAL</t>
        </is>
      </c>
      <c r="E4" s="39" t="inlineStr">
        <is>
          <t>DIRECCIÓN</t>
        </is>
      </c>
      <c r="F4" s="39" t="inlineStr">
        <is>
          <t>CIUDAD</t>
        </is>
      </c>
      <c r="G4" s="39" t="inlineStr">
        <is>
          <t>PROVINCIA</t>
        </is>
      </c>
      <c r="H4" s="39" t="inlineStr">
        <is>
          <t>CÓDIGO POSTAL</t>
        </is>
      </c>
      <c r="I4" s="39" t="inlineStr">
        <is>
          <t>CORREO</t>
        </is>
      </c>
      <c r="J4" s="39" t="inlineStr">
        <is>
          <t>TELÉFONO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27" t="inlineStr">
        <is>
          <t>C001</t>
        </is>
      </c>
      <c r="B5" s="136" t="inlineStr">
        <is>
          <t>Cliente Demo SpA</t>
        </is>
      </c>
      <c r="C5" s="136" t="inlineStr">
        <is>
          <t>Empresa</t>
        </is>
      </c>
      <c r="D5" s="136" t="inlineStr">
        <is>
          <t>76.123.456-7</t>
        </is>
      </c>
      <c r="E5" s="136" t="inlineStr">
        <is>
          <t>Av. Central 123</t>
        </is>
      </c>
      <c r="F5" s="136" t="inlineStr">
        <is>
          <t>Santiago</t>
        </is>
      </c>
      <c r="G5" s="136" t="inlineStr">
        <is>
          <t>RM</t>
        </is>
      </c>
      <c r="H5" s="136" t="inlineStr">
        <is>
          <t>8320000</t>
        </is>
      </c>
      <c r="I5" s="136" t="inlineStr">
        <is>
          <t>cliente1@demo.cl</t>
        </is>
      </c>
      <c r="J5" s="136" t="inlineStr">
        <is>
          <t>987654321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24" t="inlineStr">
        <is>
          <t>C002</t>
        </is>
      </c>
      <c r="B6" s="137" t="inlineStr">
        <is>
          <t>Comercial Andes Ltda.</t>
        </is>
      </c>
      <c r="C6" s="137" t="inlineStr">
        <is>
          <t>Empresa</t>
        </is>
      </c>
      <c r="D6" s="137" t="inlineStr">
        <is>
          <t>77.234.567-8</t>
        </is>
      </c>
      <c r="E6" s="137" t="inlineStr">
        <is>
          <t>Los Pinos 456</t>
        </is>
      </c>
      <c r="F6" s="137" t="inlineStr">
        <is>
          <t>Valparaíso</t>
        </is>
      </c>
      <c r="G6" s="137" t="inlineStr">
        <is>
          <t>Valparaíso</t>
        </is>
      </c>
      <c r="H6" s="137" t="inlineStr">
        <is>
          <t>2340000</t>
        </is>
      </c>
      <c r="I6" s="137" t="inlineStr">
        <is>
          <t>cliente2@demo.cl</t>
        </is>
      </c>
      <c r="J6" s="137" t="inlineStr">
        <is>
          <t>912345678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27" t="n"/>
      <c r="B7" s="136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90" t="n"/>
      <c r="B8" s="191" t="n"/>
      <c r="C8" s="191" t="n"/>
      <c r="D8" s="191" t="n"/>
      <c r="E8" s="191" t="n"/>
      <c r="F8" s="191" t="n"/>
      <c r="G8" s="191" t="n"/>
      <c r="H8" s="191" t="n"/>
      <c r="I8" s="191" t="n"/>
      <c r="J8" s="191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93" t="n"/>
      <c r="B9" s="194" t="n"/>
      <c r="C9" s="194" t="n"/>
      <c r="D9" s="194" t="n"/>
      <c r="E9" s="194" t="n"/>
      <c r="F9" s="194" t="n"/>
      <c r="G9" s="194" t="n"/>
      <c r="H9" s="194" t="n"/>
      <c r="I9" s="194" t="n"/>
      <c r="J9" s="194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90" t="n"/>
      <c r="B10" s="191" t="n"/>
      <c r="C10" s="191" t="n"/>
      <c r="D10" s="191" t="n"/>
      <c r="E10" s="191" t="n"/>
      <c r="F10" s="191" t="n"/>
      <c r="G10" s="191" t="n"/>
      <c r="H10" s="191" t="n"/>
      <c r="I10" s="191" t="n"/>
      <c r="J10" s="191" t="n"/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93" t="n"/>
      <c r="B11" s="194" t="n"/>
      <c r="C11" s="194" t="n"/>
      <c r="D11" s="194" t="n"/>
      <c r="E11" s="194" t="n"/>
      <c r="F11" s="194" t="n"/>
      <c r="G11" s="194" t="n"/>
      <c r="H11" s="194" t="n"/>
      <c r="I11" s="194" t="n"/>
      <c r="J11" s="194" t="n"/>
      <c r="K11" s="192" t="n"/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90" t="n"/>
      <c r="B12" s="191" t="n"/>
      <c r="C12" s="191" t="n"/>
      <c r="D12" s="191" t="n"/>
      <c r="E12" s="191" t="n"/>
      <c r="F12" s="191" t="n"/>
      <c r="G12" s="191" t="n"/>
      <c r="H12" s="191" t="n"/>
      <c r="I12" s="191" t="n"/>
      <c r="J12" s="191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93" t="n"/>
      <c r="B13" s="194" t="n"/>
      <c r="C13" s="194" t="n"/>
      <c r="D13" s="194" t="n"/>
      <c r="E13" s="194" t="n"/>
      <c r="F13" s="194" t="n"/>
      <c r="G13" s="194" t="n"/>
      <c r="H13" s="194" t="n"/>
      <c r="I13" s="194" t="n"/>
      <c r="J13" s="194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90" t="n"/>
      <c r="B14" s="191" t="n"/>
      <c r="C14" s="191" t="n"/>
      <c r="D14" s="191" t="n"/>
      <c r="E14" s="191" t="n"/>
      <c r="F14" s="191" t="n"/>
      <c r="G14" s="191" t="n"/>
      <c r="H14" s="191" t="n"/>
      <c r="I14" s="191" t="n"/>
      <c r="J14" s="191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93" t="n"/>
      <c r="B15" s="194" t="n"/>
      <c r="C15" s="194" t="n"/>
      <c r="D15" s="194" t="n"/>
      <c r="E15" s="194" t="n"/>
      <c r="F15" s="194" t="n"/>
      <c r="G15" s="194" t="n"/>
      <c r="H15" s="194" t="n"/>
      <c r="I15" s="194" t="n"/>
      <c r="J15" s="194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90" t="n"/>
      <c r="B16" s="191" t="n"/>
      <c r="C16" s="191" t="n"/>
      <c r="D16" s="191" t="n"/>
      <c r="E16" s="191" t="n"/>
      <c r="F16" s="191" t="n"/>
      <c r="G16" s="191" t="n"/>
      <c r="H16" s="191" t="n"/>
      <c r="I16" s="191" t="n"/>
      <c r="J16" s="191" t="n"/>
      <c r="K16" s="192" t="n"/>
      <c r="L16" s="192" t="n"/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93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90" t="n"/>
      <c r="B18" s="191" t="n"/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93" t="n"/>
      <c r="B19" s="194" t="n"/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2" t="n"/>
      <c r="L19" s="192" t="n"/>
      <c r="M19" s="192" t="n"/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90" t="n"/>
      <c r="B20" s="191" t="n"/>
      <c r="C20" s="191" t="n"/>
      <c r="D20" s="191" t="n"/>
      <c r="E20" s="191" t="n"/>
      <c r="F20" s="191" t="n"/>
      <c r="G20" s="191" t="n"/>
      <c r="H20" s="191" t="n"/>
      <c r="I20" s="191" t="n"/>
      <c r="J20" s="191" t="n"/>
      <c r="K20" s="192" t="n"/>
      <c r="L20" s="192" t="n"/>
      <c r="M20" s="192" t="n"/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93" t="n"/>
      <c r="B21" s="194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2" t="n"/>
      <c r="L21" s="192" t="n"/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90" t="n"/>
      <c r="B22" s="191" t="n"/>
      <c r="C22" s="191" t="n"/>
      <c r="D22" s="191" t="n"/>
      <c r="E22" s="191" t="n"/>
      <c r="F22" s="191" t="n"/>
      <c r="G22" s="191" t="n"/>
      <c r="H22" s="191" t="n"/>
      <c r="I22" s="191" t="n"/>
      <c r="J22" s="191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93" t="n"/>
      <c r="B23" s="194" t="n"/>
      <c r="C23" s="194" t="n"/>
      <c r="D23" s="194" t="n"/>
      <c r="E23" s="194" t="n"/>
      <c r="F23" s="194" t="n"/>
      <c r="G23" s="194" t="n"/>
      <c r="H23" s="194" t="n"/>
      <c r="I23" s="194" t="n"/>
      <c r="J23" s="194" t="n"/>
      <c r="K23" s="192" t="n"/>
      <c r="L23" s="192" t="n"/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90" t="n"/>
      <c r="B24" s="191" t="n"/>
      <c r="C24" s="191" t="n"/>
      <c r="D24" s="191" t="n"/>
      <c r="E24" s="191" t="n"/>
      <c r="F24" s="191" t="n"/>
      <c r="G24" s="191" t="n"/>
      <c r="H24" s="191" t="n"/>
      <c r="I24" s="191" t="n"/>
      <c r="J24" s="191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93" t="n"/>
      <c r="B25" s="194" t="n"/>
      <c r="C25" s="194" t="n"/>
      <c r="D25" s="194" t="n"/>
      <c r="E25" s="194" t="n"/>
      <c r="F25" s="194" t="n"/>
      <c r="G25" s="194" t="n"/>
      <c r="H25" s="194" t="n"/>
      <c r="I25" s="194" t="n"/>
      <c r="J25" s="194" t="n"/>
      <c r="K25" s="192" t="n"/>
      <c r="L25" s="192" t="n"/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90" t="n"/>
      <c r="B26" s="191" t="n"/>
      <c r="C26" s="191" t="n"/>
      <c r="D26" s="191" t="n"/>
      <c r="E26" s="191" t="n"/>
      <c r="F26" s="191" t="n"/>
      <c r="G26" s="191" t="n"/>
      <c r="H26" s="191" t="n"/>
      <c r="I26" s="191" t="n"/>
      <c r="J26" s="191" t="n"/>
      <c r="K26" s="192" t="n"/>
      <c r="L26" s="192" t="n"/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93" t="n"/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2" t="n"/>
      <c r="L27" s="192" t="n"/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90" t="n"/>
      <c r="B28" s="191" t="n"/>
      <c r="C28" s="191" t="n"/>
      <c r="D28" s="191" t="n"/>
      <c r="E28" s="191" t="n"/>
      <c r="F28" s="191" t="n"/>
      <c r="G28" s="191" t="n"/>
      <c r="H28" s="191" t="n"/>
      <c r="I28" s="191" t="n"/>
      <c r="J28" s="191" t="n"/>
      <c r="K28" s="192" t="n"/>
      <c r="L28" s="192" t="n"/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93" t="n"/>
      <c r="B29" s="194" t="n"/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2" t="n"/>
      <c r="L29" s="192" t="n"/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90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2" t="n"/>
      <c r="L30" s="192" t="n"/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93" t="n"/>
      <c r="B31" s="194" t="n"/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2" t="n"/>
      <c r="L31" s="192" t="n"/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90" t="n"/>
      <c r="B32" s="191" t="n"/>
      <c r="C32" s="191" t="n"/>
      <c r="D32" s="191" t="n"/>
      <c r="E32" s="191" t="n"/>
      <c r="F32" s="191" t="n"/>
      <c r="G32" s="191" t="n"/>
      <c r="H32" s="191" t="n"/>
      <c r="I32" s="191" t="n"/>
      <c r="J32" s="191" t="n"/>
      <c r="K32" s="192" t="n"/>
      <c r="L32" s="192" t="n"/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93" t="n"/>
      <c r="B33" s="194" t="n"/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2" t="n"/>
      <c r="L33" s="192" t="n"/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90" t="n"/>
      <c r="B34" s="191" t="n"/>
      <c r="C34" s="191" t="n"/>
      <c r="D34" s="191" t="n"/>
      <c r="E34" s="191" t="n"/>
      <c r="F34" s="191" t="n"/>
      <c r="G34" s="191" t="n"/>
      <c r="H34" s="191" t="n"/>
      <c r="I34" s="191" t="n"/>
      <c r="J34" s="191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93" t="n"/>
      <c r="B35" s="194" t="n"/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2" t="n"/>
      <c r="L35" s="192" t="n"/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90" t="n"/>
      <c r="B36" s="191" t="n"/>
      <c r="C36" s="191" t="n"/>
      <c r="D36" s="191" t="n"/>
      <c r="E36" s="191" t="n"/>
      <c r="F36" s="191" t="n"/>
      <c r="G36" s="191" t="n"/>
      <c r="H36" s="191" t="n"/>
      <c r="I36" s="191" t="n"/>
      <c r="J36" s="191" t="n"/>
      <c r="K36" s="192" t="n"/>
      <c r="L36" s="192" t="n"/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93" t="n"/>
      <c r="B37" s="194" t="n"/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2" t="n"/>
      <c r="L37" s="192" t="n"/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90" t="n"/>
      <c r="B38" s="191" t="n"/>
      <c r="C38" s="191" t="n"/>
      <c r="D38" s="191" t="n"/>
      <c r="E38" s="191" t="n"/>
      <c r="F38" s="191" t="n"/>
      <c r="G38" s="191" t="n"/>
      <c r="H38" s="191" t="n"/>
      <c r="I38" s="191" t="n"/>
      <c r="J38" s="191" t="n"/>
      <c r="K38" s="192" t="n"/>
      <c r="L38" s="192" t="n"/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93" t="n"/>
      <c r="B39" s="194" t="n"/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2" t="n"/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90" t="n"/>
      <c r="B40" s="191" t="n"/>
      <c r="C40" s="191" t="n"/>
      <c r="D40" s="191" t="n"/>
      <c r="E40" s="191" t="n"/>
      <c r="F40" s="191" t="n"/>
      <c r="G40" s="191" t="n"/>
      <c r="H40" s="191" t="n"/>
      <c r="I40" s="191" t="n"/>
      <c r="J40" s="191" t="n"/>
      <c r="K40" s="192" t="n"/>
      <c r="L40" s="192" t="n"/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93" t="n"/>
      <c r="B41" s="194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2" t="n"/>
      <c r="L41" s="192" t="n"/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90" t="n"/>
      <c r="B42" s="191" t="n"/>
      <c r="C42" s="191" t="n"/>
      <c r="D42" s="191" t="n"/>
      <c r="E42" s="191" t="n"/>
      <c r="F42" s="191" t="n"/>
      <c r="G42" s="191" t="n"/>
      <c r="H42" s="191" t="n"/>
      <c r="I42" s="191" t="n"/>
      <c r="J42" s="191" t="n"/>
      <c r="K42" s="192" t="n"/>
      <c r="L42" s="192" t="n"/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93" t="n"/>
      <c r="B43" s="194" t="n"/>
      <c r="C43" s="194" t="n"/>
      <c r="D43" s="194" t="n"/>
      <c r="E43" s="194" t="n"/>
      <c r="F43" s="194" t="n"/>
      <c r="G43" s="194" t="n"/>
      <c r="H43" s="194" t="n"/>
      <c r="I43" s="194" t="n"/>
      <c r="J43" s="194" t="n"/>
      <c r="K43" s="192" t="n"/>
      <c r="L43" s="192" t="n"/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90" t="n"/>
      <c r="B44" s="191" t="n"/>
      <c r="C44" s="191" t="n"/>
      <c r="D44" s="191" t="n"/>
      <c r="E44" s="191" t="n"/>
      <c r="F44" s="191" t="n"/>
      <c r="G44" s="191" t="n"/>
      <c r="H44" s="191" t="n"/>
      <c r="I44" s="191" t="n"/>
      <c r="J44" s="191" t="n"/>
      <c r="K44" s="192" t="n"/>
      <c r="L44" s="192" t="n"/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2" t="n"/>
      <c r="L45" s="192" t="n"/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96" t="n"/>
      <c r="B46" s="196" t="n"/>
      <c r="C46" s="196" t="n"/>
      <c r="D46" s="196" t="n"/>
      <c r="E46" s="196" t="n"/>
      <c r="F46" s="196" t="n"/>
      <c r="G46" s="196" t="n"/>
      <c r="H46" s="196" t="n"/>
      <c r="I46" s="196" t="n"/>
      <c r="J46" s="196" t="n"/>
      <c r="K46" s="192" t="n"/>
      <c r="L46" s="192" t="n"/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2" t="n"/>
      <c r="L47" s="192" t="n"/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96" t="n"/>
      <c r="B48" s="196" t="n"/>
      <c r="C48" s="196" t="n"/>
      <c r="D48" s="196" t="n"/>
      <c r="E48" s="196" t="n"/>
      <c r="F48" s="196" t="n"/>
      <c r="G48" s="196" t="n"/>
      <c r="H48" s="196" t="n"/>
      <c r="I48" s="196" t="n"/>
      <c r="J48" s="196" t="n"/>
      <c r="K48" s="192" t="n"/>
      <c r="L48" s="192" t="n"/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96" t="n"/>
      <c r="B50" s="196" t="n"/>
      <c r="C50" s="196" t="n"/>
      <c r="D50" s="196" t="n"/>
      <c r="E50" s="196" t="n"/>
      <c r="F50" s="196" t="n"/>
      <c r="G50" s="196" t="n"/>
      <c r="H50" s="196" t="n"/>
      <c r="I50" s="196" t="n"/>
      <c r="J50" s="196" t="n"/>
      <c r="K50" s="192" t="n"/>
      <c r="L50" s="192" t="n"/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2" t="n"/>
      <c r="L51" s="192" t="n"/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96" t="n"/>
      <c r="B52" s="196" t="n"/>
      <c r="C52" s="196" t="n"/>
      <c r="D52" s="196" t="n"/>
      <c r="E52" s="196" t="n"/>
      <c r="F52" s="196" t="n"/>
      <c r="G52" s="196" t="n"/>
      <c r="H52" s="196" t="n"/>
      <c r="I52" s="196" t="n"/>
      <c r="J52" s="196" t="n"/>
      <c r="K52" s="192" t="n"/>
      <c r="L52" s="192" t="n"/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2" t="n"/>
      <c r="L53" s="192" t="n"/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96" t="n"/>
      <c r="B54" s="196" t="n"/>
      <c r="C54" s="196" t="n"/>
      <c r="D54" s="196" t="n"/>
      <c r="E54" s="196" t="n"/>
      <c r="F54" s="196" t="n"/>
      <c r="G54" s="196" t="n"/>
      <c r="H54" s="196" t="n"/>
      <c r="I54" s="196" t="n"/>
      <c r="J54" s="196" t="n"/>
      <c r="K54" s="192" t="n"/>
      <c r="L54" s="192" t="n"/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92" t="n"/>
      <c r="B55" s="192" t="n"/>
      <c r="C55" s="192" t="n"/>
      <c r="D55" s="192" t="n"/>
      <c r="E55" s="192" t="n"/>
      <c r="F55" s="192" t="n"/>
      <c r="G55" s="192" t="n"/>
      <c r="H55" s="192" t="n"/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92" t="n"/>
      <c r="B58" s="192" t="n"/>
      <c r="C58" s="192" t="n"/>
      <c r="D58" s="192" t="n"/>
      <c r="E58" s="192" t="n"/>
      <c r="F58" s="192" t="n"/>
      <c r="G58" s="192" t="n"/>
      <c r="H58" s="192" t="n"/>
      <c r="I58" s="192" t="n"/>
      <c r="J58" s="192" t="n"/>
      <c r="K58" s="192" t="n"/>
      <c r="L58" s="192" t="n"/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92" t="n"/>
      <c r="B60" s="192" t="n"/>
      <c r="C60" s="192" t="n"/>
      <c r="D60" s="192" t="n"/>
      <c r="E60" s="192" t="n"/>
      <c r="F60" s="192" t="n"/>
      <c r="G60" s="192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92" t="n"/>
      <c r="B61" s="192" t="n"/>
      <c r="C61" s="192" t="n"/>
      <c r="D61" s="192" t="n"/>
      <c r="E61" s="192" t="n"/>
      <c r="F61" s="192" t="n"/>
      <c r="G61" s="192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92" t="n"/>
      <c r="B62" s="192" t="n"/>
      <c r="C62" s="192" t="n"/>
      <c r="D62" s="192" t="n"/>
      <c r="E62" s="192" t="n"/>
      <c r="F62" s="192" t="n"/>
      <c r="G62" s="192" t="n"/>
      <c r="H62" s="192" t="n"/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92" t="n"/>
      <c r="B63" s="192" t="n"/>
      <c r="C63" s="192" t="n"/>
      <c r="D63" s="192" t="n"/>
      <c r="E63" s="192" t="n"/>
      <c r="F63" s="192" t="n"/>
      <c r="G63" s="192" t="n"/>
      <c r="H63" s="192" t="n"/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92" t="n"/>
      <c r="B64" s="192" t="n"/>
      <c r="C64" s="192" t="n"/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92" t="n"/>
      <c r="B65" s="192" t="n"/>
      <c r="C65" s="192" t="n"/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92" t="n"/>
      <c r="B66" s="192" t="n"/>
      <c r="C66" s="192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92" t="n"/>
      <c r="B69" s="192" t="n"/>
      <c r="C69" s="192" t="n"/>
      <c r="D69" s="192" t="n"/>
      <c r="E69" s="192" t="n"/>
      <c r="F69" s="192" t="n"/>
      <c r="G69" s="192" t="n"/>
      <c r="H69" s="192" t="n"/>
      <c r="I69" s="192" t="n"/>
      <c r="J69" s="192" t="n"/>
      <c r="K69" s="192" t="n"/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92" t="n"/>
      <c r="B70" s="192" t="n"/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92" t="n"/>
      <c r="B72" s="192" t="n"/>
      <c r="C72" s="192" t="n"/>
      <c r="D72" s="192" t="n"/>
      <c r="E72" s="192" t="n"/>
      <c r="F72" s="192" t="n"/>
      <c r="G72" s="192" t="n"/>
      <c r="H72" s="192" t="n"/>
      <c r="I72" s="192" t="n"/>
      <c r="J72" s="192" t="n"/>
      <c r="K72" s="192" t="n"/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92" t="n"/>
      <c r="B73" s="192" t="n"/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92" t="n"/>
      <c r="B74" s="192" t="n"/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92" t="n"/>
      <c r="B76" s="192" t="n"/>
      <c r="C76" s="192" t="n"/>
      <c r="D76" s="192" t="n"/>
      <c r="E76" s="192" t="n"/>
      <c r="F76" s="192" t="n"/>
      <c r="G76" s="192" t="n"/>
      <c r="H76" s="192" t="n"/>
      <c r="I76" s="192" t="n"/>
      <c r="J76" s="192" t="n"/>
      <c r="K76" s="192" t="n"/>
      <c r="L76" s="192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92" t="n"/>
      <c r="B77" s="192" t="n"/>
      <c r="C77" s="192" t="n"/>
      <c r="D77" s="192" t="n"/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92" t="n"/>
      <c r="B78" s="192" t="n"/>
      <c r="C78" s="192" t="n"/>
      <c r="D78" s="192" t="n"/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92" t="n"/>
      <c r="B79" s="192" t="n"/>
      <c r="C79" s="192" t="n"/>
      <c r="D79" s="192" t="n"/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92" t="n"/>
      <c r="B80" s="192" t="n"/>
      <c r="C80" s="192" t="n"/>
      <c r="D80" s="192" t="n"/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92" t="n"/>
      <c r="B82" s="192" t="n"/>
      <c r="C82" s="192" t="n"/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92" t="n"/>
      <c r="B83" s="192" t="n"/>
      <c r="C83" s="192" t="n"/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92" t="n"/>
      <c r="B84" s="192" t="n"/>
      <c r="C84" s="192" t="n"/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92" t="n"/>
      <c r="B85" s="192" t="n"/>
      <c r="C85" s="192" t="n"/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92" t="n"/>
      <c r="B86" s="192" t="n"/>
      <c r="C86" s="192" t="n"/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92" t="n"/>
      <c r="B87" s="192" t="n"/>
      <c r="C87" s="192" t="n"/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92" t="n"/>
      <c r="B88" s="192" t="n"/>
      <c r="C88" s="192" t="n"/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E3AF2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1"/>
    <col width="24" customWidth="1" style="22" min="2" max="2"/>
    <col width="16" customWidth="1" style="22" min="3" max="3"/>
    <col width="22" customWidth="1" style="22" min="4" max="4"/>
    <col width="16" customWidth="1" style="22" min="5" max="6"/>
    <col width="24" customWidth="1" style="22" min="7" max="7"/>
    <col width="16" customWidth="1" style="22" min="8" max="8"/>
    <col width="14" customWidth="1" style="22" min="9" max="9"/>
    <col width="18" customWidth="1" style="22" min="10" max="10"/>
  </cols>
  <sheetData>
    <row r="1" ht="6" customHeight="1" s="22">
      <c r="A1" s="132" t="inlineStr">
        <is>
          <t>Base de datos de proveedores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🏭  BASE DE PROVEEDORES</t>
        </is>
      </c>
      <c r="Q2" s="135" t="inlineStr">
        <is>
          <t>Módulo Compras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7" t="inlineStr">
        <is>
          <t>ID PROV.</t>
        </is>
      </c>
      <c r="B4" s="7" t="inlineStr">
        <is>
          <t>NOMBRE</t>
        </is>
      </c>
      <c r="C4" s="7" t="inlineStr">
        <is>
          <t>ID FISCAL</t>
        </is>
      </c>
      <c r="D4" s="7" t="inlineStr">
        <is>
          <t>DIRECCIÓN</t>
        </is>
      </c>
      <c r="E4" s="7" t="inlineStr">
        <is>
          <t>CIUDAD</t>
        </is>
      </c>
      <c r="F4" s="7" t="inlineStr">
        <is>
          <t>PROVINCIA</t>
        </is>
      </c>
      <c r="G4" s="7" t="inlineStr">
        <is>
          <t>CORREO</t>
        </is>
      </c>
      <c r="H4" s="7" t="inlineStr">
        <is>
          <t>TELÉFONO</t>
        </is>
      </c>
      <c r="I4" s="7" t="inlineStr">
        <is>
          <t>PLAZO PAGO</t>
        </is>
      </c>
      <c r="J4" s="7" t="inlineStr">
        <is>
          <t>MEDIO PAGO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27" t="inlineStr">
        <is>
          <t>P001</t>
        </is>
      </c>
      <c r="B5" s="136" t="inlineStr">
        <is>
          <t>Distribuidora Norte</t>
        </is>
      </c>
      <c r="C5" s="136" t="inlineStr">
        <is>
          <t>96.111.222-3</t>
        </is>
      </c>
      <c r="D5" s="136" t="inlineStr">
        <is>
          <t>Ruta 5 100</t>
        </is>
      </c>
      <c r="E5" s="136" t="inlineStr">
        <is>
          <t>Santiago</t>
        </is>
      </c>
      <c r="F5" s="136" t="inlineStr">
        <is>
          <t>RM</t>
        </is>
      </c>
      <c r="G5" s="136" t="inlineStr">
        <is>
          <t>proveedor1@demo.cl</t>
        </is>
      </c>
      <c r="H5" s="136" t="inlineStr">
        <is>
          <t>998887766</t>
        </is>
      </c>
      <c r="I5" s="136" t="inlineStr">
        <is>
          <t>30 días</t>
        </is>
      </c>
      <c r="J5" s="136" t="inlineStr">
        <is>
          <t>Transferencia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24" t="inlineStr">
        <is>
          <t>P002</t>
        </is>
      </c>
      <c r="B6" s="137" t="inlineStr">
        <is>
          <t>Insumos del Sur</t>
        </is>
      </c>
      <c r="C6" s="137" t="inlineStr">
        <is>
          <t>96.444.555-6</t>
        </is>
      </c>
      <c r="D6" s="137" t="inlineStr">
        <is>
          <t>Camino Sur 88</t>
        </is>
      </c>
      <c r="E6" s="137" t="inlineStr">
        <is>
          <t>Temuco</t>
        </is>
      </c>
      <c r="F6" s="137" t="inlineStr">
        <is>
          <t>La Araucanía</t>
        </is>
      </c>
      <c r="G6" s="137" t="inlineStr">
        <is>
          <t>proveedor2@demo.cl</t>
        </is>
      </c>
      <c r="H6" s="137" t="inlineStr">
        <is>
          <t>977665544</t>
        </is>
      </c>
      <c r="I6" s="137" t="inlineStr">
        <is>
          <t>15 días</t>
        </is>
      </c>
      <c r="J6" s="137" t="inlineStr">
        <is>
          <t>Transferencia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27" t="n"/>
      <c r="B7" s="136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90" t="n"/>
      <c r="B8" s="191" t="n"/>
      <c r="C8" s="191" t="n"/>
      <c r="D8" s="191" t="n"/>
      <c r="E8" s="191" t="n"/>
      <c r="F8" s="191" t="n"/>
      <c r="G8" s="191" t="n"/>
      <c r="H8" s="191" t="n"/>
      <c r="I8" s="191" t="n"/>
      <c r="J8" s="191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93" t="n"/>
      <c r="B9" s="194" t="n"/>
      <c r="C9" s="194" t="n"/>
      <c r="D9" s="194" t="n"/>
      <c r="E9" s="194" t="n"/>
      <c r="F9" s="194" t="n"/>
      <c r="G9" s="194" t="n"/>
      <c r="H9" s="194" t="n"/>
      <c r="I9" s="194" t="n"/>
      <c r="J9" s="194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90" t="n"/>
      <c r="B10" s="191" t="n"/>
      <c r="C10" s="191" t="n"/>
      <c r="D10" s="191" t="n"/>
      <c r="E10" s="191" t="n"/>
      <c r="F10" s="191" t="n"/>
      <c r="G10" s="191" t="n"/>
      <c r="H10" s="191" t="n"/>
      <c r="I10" s="191" t="n"/>
      <c r="J10" s="191" t="n"/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93" t="n"/>
      <c r="B11" s="194" t="n"/>
      <c r="C11" s="194" t="n"/>
      <c r="D11" s="194" t="n"/>
      <c r="E11" s="194" t="n"/>
      <c r="F11" s="194" t="n"/>
      <c r="G11" s="194" t="n"/>
      <c r="H11" s="194" t="n"/>
      <c r="I11" s="194" t="n"/>
      <c r="J11" s="194" t="n"/>
      <c r="K11" s="192" t="n"/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90" t="n"/>
      <c r="B12" s="191" t="n"/>
      <c r="C12" s="191" t="n"/>
      <c r="D12" s="191" t="n"/>
      <c r="E12" s="191" t="n"/>
      <c r="F12" s="191" t="n"/>
      <c r="G12" s="191" t="n"/>
      <c r="H12" s="191" t="n"/>
      <c r="I12" s="191" t="n"/>
      <c r="J12" s="191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93" t="n"/>
      <c r="B13" s="194" t="n"/>
      <c r="C13" s="194" t="n"/>
      <c r="D13" s="194" t="n"/>
      <c r="E13" s="194" t="n"/>
      <c r="F13" s="194" t="n"/>
      <c r="G13" s="194" t="n"/>
      <c r="H13" s="194" t="n"/>
      <c r="I13" s="194" t="n"/>
      <c r="J13" s="194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90" t="n"/>
      <c r="B14" s="191" t="n"/>
      <c r="C14" s="191" t="n"/>
      <c r="D14" s="191" t="n"/>
      <c r="E14" s="191" t="n"/>
      <c r="F14" s="191" t="n"/>
      <c r="G14" s="191" t="n"/>
      <c r="H14" s="191" t="n"/>
      <c r="I14" s="191" t="n"/>
      <c r="J14" s="191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93" t="n"/>
      <c r="B15" s="194" t="n"/>
      <c r="C15" s="194" t="n"/>
      <c r="D15" s="194" t="n"/>
      <c r="E15" s="194" t="n"/>
      <c r="F15" s="194" t="n"/>
      <c r="G15" s="194" t="n"/>
      <c r="H15" s="194" t="n"/>
      <c r="I15" s="194" t="n"/>
      <c r="J15" s="194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90" t="n"/>
      <c r="B16" s="191" t="n"/>
      <c r="C16" s="191" t="n"/>
      <c r="D16" s="191" t="n"/>
      <c r="E16" s="191" t="n"/>
      <c r="F16" s="191" t="n"/>
      <c r="G16" s="191" t="n"/>
      <c r="H16" s="191" t="n"/>
      <c r="I16" s="191" t="n"/>
      <c r="J16" s="191" t="n"/>
      <c r="K16" s="192" t="n"/>
      <c r="L16" s="192" t="n"/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93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90" t="n"/>
      <c r="B18" s="191" t="n"/>
      <c r="C18" s="191" t="n"/>
      <c r="D18" s="191" t="n"/>
      <c r="E18" s="191" t="n"/>
      <c r="F18" s="191" t="n"/>
      <c r="G18" s="191" t="n"/>
      <c r="H18" s="191" t="n"/>
      <c r="I18" s="191" t="n"/>
      <c r="J18" s="191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93" t="n"/>
      <c r="B19" s="194" t="n"/>
      <c r="C19" s="194" t="n"/>
      <c r="D19" s="194" t="n"/>
      <c r="E19" s="194" t="n"/>
      <c r="F19" s="194" t="n"/>
      <c r="G19" s="194" t="n"/>
      <c r="H19" s="194" t="n"/>
      <c r="I19" s="194" t="n"/>
      <c r="J19" s="194" t="n"/>
      <c r="K19" s="192" t="n"/>
      <c r="L19" s="192" t="n"/>
      <c r="M19" s="192" t="n"/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90" t="n"/>
      <c r="B20" s="191" t="n"/>
      <c r="C20" s="191" t="n"/>
      <c r="D20" s="191" t="n"/>
      <c r="E20" s="191" t="n"/>
      <c r="F20" s="191" t="n"/>
      <c r="G20" s="191" t="n"/>
      <c r="H20" s="191" t="n"/>
      <c r="I20" s="191" t="n"/>
      <c r="J20" s="191" t="n"/>
      <c r="K20" s="192" t="n"/>
      <c r="L20" s="192" t="n"/>
      <c r="M20" s="192" t="n"/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93" t="n"/>
      <c r="B21" s="194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2" t="n"/>
      <c r="L21" s="192" t="n"/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90" t="n"/>
      <c r="B22" s="191" t="n"/>
      <c r="C22" s="191" t="n"/>
      <c r="D22" s="191" t="n"/>
      <c r="E22" s="191" t="n"/>
      <c r="F22" s="191" t="n"/>
      <c r="G22" s="191" t="n"/>
      <c r="H22" s="191" t="n"/>
      <c r="I22" s="191" t="n"/>
      <c r="J22" s="191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93" t="n"/>
      <c r="B23" s="194" t="n"/>
      <c r="C23" s="194" t="n"/>
      <c r="D23" s="194" t="n"/>
      <c r="E23" s="194" t="n"/>
      <c r="F23" s="194" t="n"/>
      <c r="G23" s="194" t="n"/>
      <c r="H23" s="194" t="n"/>
      <c r="I23" s="194" t="n"/>
      <c r="J23" s="194" t="n"/>
      <c r="K23" s="192" t="n"/>
      <c r="L23" s="192" t="n"/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90" t="n"/>
      <c r="B24" s="191" t="n"/>
      <c r="C24" s="191" t="n"/>
      <c r="D24" s="191" t="n"/>
      <c r="E24" s="191" t="n"/>
      <c r="F24" s="191" t="n"/>
      <c r="G24" s="191" t="n"/>
      <c r="H24" s="191" t="n"/>
      <c r="I24" s="191" t="n"/>
      <c r="J24" s="191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93" t="n"/>
      <c r="B25" s="194" t="n"/>
      <c r="C25" s="194" t="n"/>
      <c r="D25" s="194" t="n"/>
      <c r="E25" s="194" t="n"/>
      <c r="F25" s="194" t="n"/>
      <c r="G25" s="194" t="n"/>
      <c r="H25" s="194" t="n"/>
      <c r="I25" s="194" t="n"/>
      <c r="J25" s="194" t="n"/>
      <c r="K25" s="192" t="n"/>
      <c r="L25" s="192" t="n"/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90" t="n"/>
      <c r="B26" s="191" t="n"/>
      <c r="C26" s="191" t="n"/>
      <c r="D26" s="191" t="n"/>
      <c r="E26" s="191" t="n"/>
      <c r="F26" s="191" t="n"/>
      <c r="G26" s="191" t="n"/>
      <c r="H26" s="191" t="n"/>
      <c r="I26" s="191" t="n"/>
      <c r="J26" s="191" t="n"/>
      <c r="K26" s="192" t="n"/>
      <c r="L26" s="192" t="n"/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93" t="n"/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2" t="n"/>
      <c r="L27" s="192" t="n"/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90" t="n"/>
      <c r="B28" s="191" t="n"/>
      <c r="C28" s="191" t="n"/>
      <c r="D28" s="191" t="n"/>
      <c r="E28" s="191" t="n"/>
      <c r="F28" s="191" t="n"/>
      <c r="G28" s="191" t="n"/>
      <c r="H28" s="191" t="n"/>
      <c r="I28" s="191" t="n"/>
      <c r="J28" s="191" t="n"/>
      <c r="K28" s="192" t="n"/>
      <c r="L28" s="192" t="n"/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93" t="n"/>
      <c r="B29" s="194" t="n"/>
      <c r="C29" s="194" t="n"/>
      <c r="D29" s="194" t="n"/>
      <c r="E29" s="194" t="n"/>
      <c r="F29" s="194" t="n"/>
      <c r="G29" s="194" t="n"/>
      <c r="H29" s="194" t="n"/>
      <c r="I29" s="194" t="n"/>
      <c r="J29" s="194" t="n"/>
      <c r="K29" s="192" t="n"/>
      <c r="L29" s="192" t="n"/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90" t="n"/>
      <c r="B30" s="191" t="n"/>
      <c r="C30" s="191" t="n"/>
      <c r="D30" s="191" t="n"/>
      <c r="E30" s="191" t="n"/>
      <c r="F30" s="191" t="n"/>
      <c r="G30" s="191" t="n"/>
      <c r="H30" s="191" t="n"/>
      <c r="I30" s="191" t="n"/>
      <c r="J30" s="191" t="n"/>
      <c r="K30" s="192" t="n"/>
      <c r="L30" s="192" t="n"/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93" t="n"/>
      <c r="B31" s="194" t="n"/>
      <c r="C31" s="194" t="n"/>
      <c r="D31" s="194" t="n"/>
      <c r="E31" s="194" t="n"/>
      <c r="F31" s="194" t="n"/>
      <c r="G31" s="194" t="n"/>
      <c r="H31" s="194" t="n"/>
      <c r="I31" s="194" t="n"/>
      <c r="J31" s="194" t="n"/>
      <c r="K31" s="192" t="n"/>
      <c r="L31" s="192" t="n"/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90" t="n"/>
      <c r="B32" s="191" t="n"/>
      <c r="C32" s="191" t="n"/>
      <c r="D32" s="191" t="n"/>
      <c r="E32" s="191" t="n"/>
      <c r="F32" s="191" t="n"/>
      <c r="G32" s="191" t="n"/>
      <c r="H32" s="191" t="n"/>
      <c r="I32" s="191" t="n"/>
      <c r="J32" s="191" t="n"/>
      <c r="K32" s="192" t="n"/>
      <c r="L32" s="192" t="n"/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93" t="n"/>
      <c r="B33" s="194" t="n"/>
      <c r="C33" s="194" t="n"/>
      <c r="D33" s="194" t="n"/>
      <c r="E33" s="194" t="n"/>
      <c r="F33" s="194" t="n"/>
      <c r="G33" s="194" t="n"/>
      <c r="H33" s="194" t="n"/>
      <c r="I33" s="194" t="n"/>
      <c r="J33" s="194" t="n"/>
      <c r="K33" s="192" t="n"/>
      <c r="L33" s="192" t="n"/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90" t="n"/>
      <c r="B34" s="191" t="n"/>
      <c r="C34" s="191" t="n"/>
      <c r="D34" s="191" t="n"/>
      <c r="E34" s="191" t="n"/>
      <c r="F34" s="191" t="n"/>
      <c r="G34" s="191" t="n"/>
      <c r="H34" s="191" t="n"/>
      <c r="I34" s="191" t="n"/>
      <c r="J34" s="191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93" t="n"/>
      <c r="B35" s="194" t="n"/>
      <c r="C35" s="194" t="n"/>
      <c r="D35" s="194" t="n"/>
      <c r="E35" s="194" t="n"/>
      <c r="F35" s="194" t="n"/>
      <c r="G35" s="194" t="n"/>
      <c r="H35" s="194" t="n"/>
      <c r="I35" s="194" t="n"/>
      <c r="J35" s="194" t="n"/>
      <c r="K35" s="192" t="n"/>
      <c r="L35" s="192" t="n"/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90" t="n"/>
      <c r="B36" s="191" t="n"/>
      <c r="C36" s="191" t="n"/>
      <c r="D36" s="191" t="n"/>
      <c r="E36" s="191" t="n"/>
      <c r="F36" s="191" t="n"/>
      <c r="G36" s="191" t="n"/>
      <c r="H36" s="191" t="n"/>
      <c r="I36" s="191" t="n"/>
      <c r="J36" s="191" t="n"/>
      <c r="K36" s="192" t="n"/>
      <c r="L36" s="192" t="n"/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93" t="n"/>
      <c r="B37" s="194" t="n"/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2" t="n"/>
      <c r="L37" s="192" t="n"/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90" t="n"/>
      <c r="B38" s="191" t="n"/>
      <c r="C38" s="191" t="n"/>
      <c r="D38" s="191" t="n"/>
      <c r="E38" s="191" t="n"/>
      <c r="F38" s="191" t="n"/>
      <c r="G38" s="191" t="n"/>
      <c r="H38" s="191" t="n"/>
      <c r="I38" s="191" t="n"/>
      <c r="J38" s="191" t="n"/>
      <c r="K38" s="192" t="n"/>
      <c r="L38" s="192" t="n"/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93" t="n"/>
      <c r="B39" s="194" t="n"/>
      <c r="C39" s="194" t="n"/>
      <c r="D39" s="194" t="n"/>
      <c r="E39" s="194" t="n"/>
      <c r="F39" s="194" t="n"/>
      <c r="G39" s="194" t="n"/>
      <c r="H39" s="194" t="n"/>
      <c r="I39" s="194" t="n"/>
      <c r="J39" s="194" t="n"/>
      <c r="K39" s="192" t="n"/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90" t="n"/>
      <c r="B40" s="191" t="n"/>
      <c r="C40" s="191" t="n"/>
      <c r="D40" s="191" t="n"/>
      <c r="E40" s="191" t="n"/>
      <c r="F40" s="191" t="n"/>
      <c r="G40" s="191" t="n"/>
      <c r="H40" s="191" t="n"/>
      <c r="I40" s="191" t="n"/>
      <c r="J40" s="191" t="n"/>
      <c r="K40" s="192" t="n"/>
      <c r="L40" s="192" t="n"/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93" t="n"/>
      <c r="B41" s="194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2" t="n"/>
      <c r="L41" s="192" t="n"/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90" t="n"/>
      <c r="B42" s="191" t="n"/>
      <c r="C42" s="191" t="n"/>
      <c r="D42" s="191" t="n"/>
      <c r="E42" s="191" t="n"/>
      <c r="F42" s="191" t="n"/>
      <c r="G42" s="191" t="n"/>
      <c r="H42" s="191" t="n"/>
      <c r="I42" s="191" t="n"/>
      <c r="J42" s="191" t="n"/>
      <c r="K42" s="192" t="n"/>
      <c r="L42" s="192" t="n"/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93" t="n"/>
      <c r="B43" s="194" t="n"/>
      <c r="C43" s="194" t="n"/>
      <c r="D43" s="194" t="n"/>
      <c r="E43" s="194" t="n"/>
      <c r="F43" s="194" t="n"/>
      <c r="G43" s="194" t="n"/>
      <c r="H43" s="194" t="n"/>
      <c r="I43" s="194" t="n"/>
      <c r="J43" s="194" t="n"/>
      <c r="K43" s="192" t="n"/>
      <c r="L43" s="192" t="n"/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90" t="n"/>
      <c r="B44" s="191" t="n"/>
      <c r="C44" s="191" t="n"/>
      <c r="D44" s="191" t="n"/>
      <c r="E44" s="191" t="n"/>
      <c r="F44" s="191" t="n"/>
      <c r="G44" s="191" t="n"/>
      <c r="H44" s="191" t="n"/>
      <c r="I44" s="191" t="n"/>
      <c r="J44" s="191" t="n"/>
      <c r="K44" s="192" t="n"/>
      <c r="L44" s="192" t="n"/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95" t="n"/>
      <c r="B45" s="195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2" t="n"/>
      <c r="L45" s="192" t="n"/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96" t="n"/>
      <c r="B46" s="196" t="n"/>
      <c r="C46" s="196" t="n"/>
      <c r="D46" s="196" t="n"/>
      <c r="E46" s="196" t="n"/>
      <c r="F46" s="196" t="n"/>
      <c r="G46" s="196" t="n"/>
      <c r="H46" s="196" t="n"/>
      <c r="I46" s="196" t="n"/>
      <c r="J46" s="196" t="n"/>
      <c r="K46" s="192" t="n"/>
      <c r="L46" s="192" t="n"/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95" t="n"/>
      <c r="B47" s="195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2" t="n"/>
      <c r="L47" s="192" t="n"/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96" t="n"/>
      <c r="B48" s="196" t="n"/>
      <c r="C48" s="196" t="n"/>
      <c r="D48" s="196" t="n"/>
      <c r="E48" s="196" t="n"/>
      <c r="F48" s="196" t="n"/>
      <c r="G48" s="196" t="n"/>
      <c r="H48" s="196" t="n"/>
      <c r="I48" s="196" t="n"/>
      <c r="J48" s="196" t="n"/>
      <c r="K48" s="192" t="n"/>
      <c r="L48" s="192" t="n"/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95" t="n"/>
      <c r="B49" s="195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96" t="n"/>
      <c r="B50" s="196" t="n"/>
      <c r="C50" s="196" t="n"/>
      <c r="D50" s="196" t="n"/>
      <c r="E50" s="196" t="n"/>
      <c r="F50" s="196" t="n"/>
      <c r="G50" s="196" t="n"/>
      <c r="H50" s="196" t="n"/>
      <c r="I50" s="196" t="n"/>
      <c r="J50" s="196" t="n"/>
      <c r="K50" s="192" t="n"/>
      <c r="L50" s="192" t="n"/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95" t="n"/>
      <c r="B51" s="195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2" t="n"/>
      <c r="L51" s="192" t="n"/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96" t="n"/>
      <c r="B52" s="196" t="n"/>
      <c r="C52" s="196" t="n"/>
      <c r="D52" s="196" t="n"/>
      <c r="E52" s="196" t="n"/>
      <c r="F52" s="196" t="n"/>
      <c r="G52" s="196" t="n"/>
      <c r="H52" s="196" t="n"/>
      <c r="I52" s="196" t="n"/>
      <c r="J52" s="196" t="n"/>
      <c r="K52" s="192" t="n"/>
      <c r="L52" s="192" t="n"/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95" t="n"/>
      <c r="B53" s="195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2" t="n"/>
      <c r="L53" s="192" t="n"/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96" t="n"/>
      <c r="B54" s="196" t="n"/>
      <c r="C54" s="196" t="n"/>
      <c r="D54" s="196" t="n"/>
      <c r="E54" s="196" t="n"/>
      <c r="F54" s="196" t="n"/>
      <c r="G54" s="196" t="n"/>
      <c r="H54" s="196" t="n"/>
      <c r="I54" s="196" t="n"/>
      <c r="J54" s="196" t="n"/>
      <c r="K54" s="192" t="n"/>
      <c r="L54" s="192" t="n"/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92" t="n"/>
      <c r="B55" s="192" t="n"/>
      <c r="C55" s="192" t="n"/>
      <c r="D55" s="192" t="n"/>
      <c r="E55" s="192" t="n"/>
      <c r="F55" s="192" t="n"/>
      <c r="G55" s="192" t="n"/>
      <c r="H55" s="192" t="n"/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92" t="n"/>
      <c r="B58" s="192" t="n"/>
      <c r="C58" s="192" t="n"/>
      <c r="D58" s="192" t="n"/>
      <c r="E58" s="192" t="n"/>
      <c r="F58" s="192" t="n"/>
      <c r="G58" s="192" t="n"/>
      <c r="H58" s="192" t="n"/>
      <c r="I58" s="192" t="n"/>
      <c r="J58" s="192" t="n"/>
      <c r="K58" s="192" t="n"/>
      <c r="L58" s="192" t="n"/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92" t="n"/>
      <c r="B60" s="192" t="n"/>
      <c r="C60" s="192" t="n"/>
      <c r="D60" s="192" t="n"/>
      <c r="E60" s="192" t="n"/>
      <c r="F60" s="192" t="n"/>
      <c r="G60" s="192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92" t="n"/>
      <c r="B61" s="192" t="n"/>
      <c r="C61" s="192" t="n"/>
      <c r="D61" s="192" t="n"/>
      <c r="E61" s="192" t="n"/>
      <c r="F61" s="192" t="n"/>
      <c r="G61" s="192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92" t="n"/>
      <c r="B62" s="192" t="n"/>
      <c r="C62" s="192" t="n"/>
      <c r="D62" s="192" t="n"/>
      <c r="E62" s="192" t="n"/>
      <c r="F62" s="192" t="n"/>
      <c r="G62" s="192" t="n"/>
      <c r="H62" s="192" t="n"/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92" t="n"/>
      <c r="B63" s="192" t="n"/>
      <c r="C63" s="192" t="n"/>
      <c r="D63" s="192" t="n"/>
      <c r="E63" s="192" t="n"/>
      <c r="F63" s="192" t="n"/>
      <c r="G63" s="192" t="n"/>
      <c r="H63" s="192" t="n"/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92" t="n"/>
      <c r="B64" s="192" t="n"/>
      <c r="C64" s="192" t="n"/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92" t="n"/>
      <c r="B65" s="192" t="n"/>
      <c r="C65" s="192" t="n"/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92" t="n"/>
      <c r="B66" s="192" t="n"/>
      <c r="C66" s="192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92" t="n"/>
      <c r="B69" s="192" t="n"/>
      <c r="C69" s="192" t="n"/>
      <c r="D69" s="192" t="n"/>
      <c r="E69" s="192" t="n"/>
      <c r="F69" s="192" t="n"/>
      <c r="G69" s="192" t="n"/>
      <c r="H69" s="192" t="n"/>
      <c r="I69" s="192" t="n"/>
      <c r="J69" s="192" t="n"/>
      <c r="K69" s="192" t="n"/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92" t="n"/>
      <c r="B70" s="192" t="n"/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92" t="n"/>
      <c r="B72" s="192" t="n"/>
      <c r="C72" s="192" t="n"/>
      <c r="D72" s="192" t="n"/>
      <c r="E72" s="192" t="n"/>
      <c r="F72" s="192" t="n"/>
      <c r="G72" s="192" t="n"/>
      <c r="H72" s="192" t="n"/>
      <c r="I72" s="192" t="n"/>
      <c r="J72" s="192" t="n"/>
      <c r="K72" s="192" t="n"/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92" t="n"/>
      <c r="B73" s="192" t="n"/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92" t="n"/>
      <c r="B74" s="192" t="n"/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92" t="n"/>
      <c r="B76" s="192" t="n"/>
      <c r="C76" s="192" t="n"/>
      <c r="D76" s="192" t="n"/>
      <c r="E76" s="192" t="n"/>
      <c r="F76" s="192" t="n"/>
      <c r="G76" s="192" t="n"/>
      <c r="H76" s="192" t="n"/>
      <c r="I76" s="192" t="n"/>
      <c r="J76" s="192" t="n"/>
      <c r="K76" s="192" t="n"/>
      <c r="L76" s="192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92" t="n"/>
      <c r="B77" s="192" t="n"/>
      <c r="C77" s="192" t="n"/>
      <c r="D77" s="192" t="n"/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92" t="n"/>
      <c r="B78" s="192" t="n"/>
      <c r="C78" s="192" t="n"/>
      <c r="D78" s="192" t="n"/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92" t="n"/>
      <c r="B79" s="192" t="n"/>
      <c r="C79" s="192" t="n"/>
      <c r="D79" s="192" t="n"/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92" t="n"/>
      <c r="B80" s="192" t="n"/>
      <c r="C80" s="192" t="n"/>
      <c r="D80" s="192" t="n"/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92" t="n"/>
      <c r="B82" s="192" t="n"/>
      <c r="C82" s="192" t="n"/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92" t="n"/>
      <c r="B83" s="192" t="n"/>
      <c r="C83" s="192" t="n"/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92" t="n"/>
      <c r="B84" s="192" t="n"/>
      <c r="C84" s="192" t="n"/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92" t="n"/>
      <c r="B85" s="192" t="n"/>
      <c r="C85" s="192" t="n"/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92" t="n"/>
      <c r="B86" s="192" t="n"/>
      <c r="C86" s="192" t="n"/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92" t="n"/>
      <c r="B87" s="192" t="n"/>
      <c r="C87" s="192" t="n"/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92" t="n"/>
      <c r="B88" s="192" t="n"/>
      <c r="C88" s="192" t="n"/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20B486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1"/>
    <col width="18" customWidth="1" style="22" min="2" max="2"/>
    <col width="30" customWidth="1" style="22" min="3" max="3"/>
    <col width="14" customWidth="1" style="22" min="4" max="4"/>
    <col width="16" customWidth="1" style="22" min="5" max="6"/>
    <col width="14" customWidth="1" style="22" min="7" max="7"/>
    <col width="12" customWidth="1" style="22" min="8" max="9"/>
  </cols>
  <sheetData>
    <row r="1" ht="6" customHeight="1" s="22">
      <c r="A1" s="132" t="inlineStr">
        <is>
          <t>Maestro de productos, precios y stock mínimo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📦  MAESTRO DE PRODUCTOS</t>
        </is>
      </c>
      <c r="Q2" s="135" t="inlineStr">
        <is>
          <t>Módulo Inventario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8" t="inlineStr">
        <is>
          <t>CÓDIGO</t>
        </is>
      </c>
      <c r="B4" s="8" t="inlineStr">
        <is>
          <t>CATEGORÍA</t>
        </is>
      </c>
      <c r="C4" s="8" t="inlineStr">
        <is>
          <t>PRODUCTO</t>
        </is>
      </c>
      <c r="D4" s="8" t="inlineStr">
        <is>
          <t>UNIDAD</t>
        </is>
      </c>
      <c r="E4" s="8" t="inlineStr">
        <is>
          <t>PRECIO VENTA</t>
        </is>
      </c>
      <c r="F4" s="8" t="inlineStr">
        <is>
          <t>PRECIO COMPRA</t>
        </is>
      </c>
      <c r="G4" s="8" t="inlineStr">
        <is>
          <t>STOCK MÍNIMO</t>
        </is>
      </c>
      <c r="H4" s="8" t="inlineStr">
        <is>
          <t>IVA %</t>
        </is>
      </c>
      <c r="I4" s="8" t="inlineStr">
        <is>
          <t>ACTIVO</t>
        </is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27" t="inlineStr">
        <is>
          <t>PR001</t>
        </is>
      </c>
      <c r="B5" s="136" t="inlineStr">
        <is>
          <t>Bebidas</t>
        </is>
      </c>
      <c r="C5" s="136" t="inlineStr">
        <is>
          <t>Bebida Energética</t>
        </is>
      </c>
      <c r="D5" s="136" t="inlineStr">
        <is>
          <t>und</t>
        </is>
      </c>
      <c r="E5" s="140" t="n">
        <v>2500</v>
      </c>
      <c r="F5" s="140" t="n">
        <v>1800</v>
      </c>
      <c r="G5" s="127" t="n">
        <v>10</v>
      </c>
      <c r="H5" s="141" t="n">
        <v>0.19</v>
      </c>
      <c r="I5" s="136" t="inlineStr">
        <is>
          <t>Sí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24" t="inlineStr">
        <is>
          <t>PR002</t>
        </is>
      </c>
      <c r="B6" s="137" t="inlineStr">
        <is>
          <t>Bebidas</t>
        </is>
      </c>
      <c r="C6" s="137" t="inlineStr">
        <is>
          <t>Agua Mineral</t>
        </is>
      </c>
      <c r="D6" s="137" t="inlineStr">
        <is>
          <t>und</t>
        </is>
      </c>
      <c r="E6" s="142" t="n">
        <v>1200</v>
      </c>
      <c r="F6" s="142" t="n">
        <v>800</v>
      </c>
      <c r="G6" s="124" t="n">
        <v>15</v>
      </c>
      <c r="H6" s="143" t="n">
        <v>0.19</v>
      </c>
      <c r="I6" s="137" t="inlineStr">
        <is>
          <t>Sí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27" t="inlineStr">
        <is>
          <t>PR003</t>
        </is>
      </c>
      <c r="B7" s="136" t="inlineStr">
        <is>
          <t>Snacks</t>
        </is>
      </c>
      <c r="C7" s="136" t="inlineStr">
        <is>
          <t>Barra Proteica</t>
        </is>
      </c>
      <c r="D7" s="136" t="inlineStr">
        <is>
          <t>und</t>
        </is>
      </c>
      <c r="E7" s="140" t="n">
        <v>1800</v>
      </c>
      <c r="F7" s="140" t="n">
        <v>1200</v>
      </c>
      <c r="G7" s="127" t="n">
        <v>8</v>
      </c>
      <c r="H7" s="141" t="n">
        <v>0.19</v>
      </c>
      <c r="I7" s="136" t="inlineStr">
        <is>
          <t>Sí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90" t="inlineStr">
        <is>
          <t>PR004</t>
        </is>
      </c>
      <c r="B8" s="191" t="inlineStr">
        <is>
          <t>Abarrotes</t>
        </is>
      </c>
      <c r="C8" s="191" t="inlineStr">
        <is>
          <t>Café Molido</t>
        </is>
      </c>
      <c r="D8" s="191" t="inlineStr">
        <is>
          <t>und</t>
        </is>
      </c>
      <c r="E8" s="197" t="n">
        <v>6500</v>
      </c>
      <c r="F8" s="197" t="n">
        <v>4700</v>
      </c>
      <c r="G8" s="190" t="n">
        <v>5</v>
      </c>
      <c r="H8" s="198" t="n">
        <v>0.19</v>
      </c>
      <c r="I8" s="191" t="inlineStr">
        <is>
          <t>Sí</t>
        </is>
      </c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93" t="n"/>
      <c r="B9" s="194" t="n"/>
      <c r="C9" s="194" t="n"/>
      <c r="D9" s="194" t="n"/>
      <c r="E9" s="199" t="n"/>
      <c r="F9" s="199" t="n"/>
      <c r="G9" s="193" t="n"/>
      <c r="H9" s="200" t="n"/>
      <c r="I9" s="194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90" t="n"/>
      <c r="B10" s="191" t="n"/>
      <c r="C10" s="191" t="n"/>
      <c r="D10" s="191" t="n"/>
      <c r="E10" s="197" t="n"/>
      <c r="F10" s="197" t="n"/>
      <c r="G10" s="190" t="n"/>
      <c r="H10" s="198" t="n"/>
      <c r="I10" s="191" t="n"/>
      <c r="J10" s="192" t="n"/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93" t="n"/>
      <c r="B11" s="194" t="n"/>
      <c r="C11" s="194" t="n"/>
      <c r="D11" s="194" t="n"/>
      <c r="E11" s="199" t="n"/>
      <c r="F11" s="199" t="n"/>
      <c r="G11" s="193" t="n"/>
      <c r="H11" s="200" t="n"/>
      <c r="I11" s="194" t="n"/>
      <c r="J11" s="192" t="n"/>
      <c r="K11" s="192" t="n"/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90" t="n"/>
      <c r="B12" s="191" t="n"/>
      <c r="C12" s="191" t="n"/>
      <c r="D12" s="191" t="n"/>
      <c r="E12" s="197" t="n"/>
      <c r="F12" s="197" t="n"/>
      <c r="G12" s="190" t="n"/>
      <c r="H12" s="198" t="n"/>
      <c r="I12" s="191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93" t="n"/>
      <c r="B13" s="194" t="n"/>
      <c r="C13" s="194" t="n"/>
      <c r="D13" s="194" t="n"/>
      <c r="E13" s="199" t="n"/>
      <c r="F13" s="199" t="n"/>
      <c r="G13" s="193" t="n"/>
      <c r="H13" s="200" t="n"/>
      <c r="I13" s="194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90" t="n"/>
      <c r="B14" s="191" t="n"/>
      <c r="C14" s="191" t="n"/>
      <c r="D14" s="191" t="n"/>
      <c r="E14" s="197" t="n"/>
      <c r="F14" s="197" t="n"/>
      <c r="G14" s="190" t="n"/>
      <c r="H14" s="198" t="n"/>
      <c r="I14" s="191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93" t="n"/>
      <c r="B15" s="194" t="n"/>
      <c r="C15" s="194" t="n"/>
      <c r="D15" s="194" t="n"/>
      <c r="E15" s="199" t="n"/>
      <c r="F15" s="199" t="n"/>
      <c r="G15" s="193" t="n"/>
      <c r="H15" s="200" t="n"/>
      <c r="I15" s="194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90" t="n"/>
      <c r="B16" s="191" t="n"/>
      <c r="C16" s="191" t="n"/>
      <c r="D16" s="191" t="n"/>
      <c r="E16" s="197" t="n"/>
      <c r="F16" s="197" t="n"/>
      <c r="G16" s="190" t="n"/>
      <c r="H16" s="198" t="n"/>
      <c r="I16" s="191" t="n"/>
      <c r="J16" s="192" t="n"/>
      <c r="K16" s="192" t="n"/>
      <c r="L16" s="192" t="n"/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93" t="n"/>
      <c r="B17" s="194" t="n"/>
      <c r="C17" s="194" t="n"/>
      <c r="D17" s="194" t="n"/>
      <c r="E17" s="199" t="n"/>
      <c r="F17" s="199" t="n"/>
      <c r="G17" s="193" t="n"/>
      <c r="H17" s="200" t="n"/>
      <c r="I17" s="194" t="n"/>
      <c r="J17" s="192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90" t="n"/>
      <c r="B18" s="191" t="n"/>
      <c r="C18" s="191" t="n"/>
      <c r="D18" s="191" t="n"/>
      <c r="E18" s="197" t="n"/>
      <c r="F18" s="197" t="n"/>
      <c r="G18" s="190" t="n"/>
      <c r="H18" s="198" t="n"/>
      <c r="I18" s="191" t="n"/>
      <c r="J18" s="192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93" t="n"/>
      <c r="B19" s="194" t="n"/>
      <c r="C19" s="194" t="n"/>
      <c r="D19" s="194" t="n"/>
      <c r="E19" s="199" t="n"/>
      <c r="F19" s="199" t="n"/>
      <c r="G19" s="193" t="n"/>
      <c r="H19" s="200" t="n"/>
      <c r="I19" s="194" t="n"/>
      <c r="J19" s="192" t="n"/>
      <c r="K19" s="192" t="n"/>
      <c r="L19" s="192" t="n"/>
      <c r="M19" s="192" t="n"/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90" t="n"/>
      <c r="B20" s="191" t="n"/>
      <c r="C20" s="191" t="n"/>
      <c r="D20" s="191" t="n"/>
      <c r="E20" s="197" t="n"/>
      <c r="F20" s="197" t="n"/>
      <c r="G20" s="190" t="n"/>
      <c r="H20" s="198" t="n"/>
      <c r="I20" s="191" t="n"/>
      <c r="J20" s="192" t="n"/>
      <c r="K20" s="192" t="n"/>
      <c r="L20" s="192" t="n"/>
      <c r="M20" s="192" t="n"/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93" t="n"/>
      <c r="B21" s="194" t="n"/>
      <c r="C21" s="194" t="n"/>
      <c r="D21" s="194" t="n"/>
      <c r="E21" s="199" t="n"/>
      <c r="F21" s="199" t="n"/>
      <c r="G21" s="193" t="n"/>
      <c r="H21" s="200" t="n"/>
      <c r="I21" s="194" t="n"/>
      <c r="J21" s="192" t="n"/>
      <c r="K21" s="192" t="n"/>
      <c r="L21" s="192" t="n"/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90" t="n"/>
      <c r="B22" s="191" t="n"/>
      <c r="C22" s="191" t="n"/>
      <c r="D22" s="191" t="n"/>
      <c r="E22" s="197" t="n"/>
      <c r="F22" s="197" t="n"/>
      <c r="G22" s="190" t="n"/>
      <c r="H22" s="198" t="n"/>
      <c r="I22" s="191" t="n"/>
      <c r="J22" s="192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93" t="n"/>
      <c r="B23" s="194" t="n"/>
      <c r="C23" s="194" t="n"/>
      <c r="D23" s="194" t="n"/>
      <c r="E23" s="199" t="n"/>
      <c r="F23" s="199" t="n"/>
      <c r="G23" s="193" t="n"/>
      <c r="H23" s="200" t="n"/>
      <c r="I23" s="194" t="n"/>
      <c r="J23" s="192" t="n"/>
      <c r="K23" s="192" t="n"/>
      <c r="L23" s="192" t="n"/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90" t="n"/>
      <c r="B24" s="191" t="n"/>
      <c r="C24" s="191" t="n"/>
      <c r="D24" s="191" t="n"/>
      <c r="E24" s="197" t="n"/>
      <c r="F24" s="197" t="n"/>
      <c r="G24" s="190" t="n"/>
      <c r="H24" s="198" t="n"/>
      <c r="I24" s="191" t="n"/>
      <c r="J24" s="192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93" t="n"/>
      <c r="B25" s="194" t="n"/>
      <c r="C25" s="194" t="n"/>
      <c r="D25" s="194" t="n"/>
      <c r="E25" s="199" t="n"/>
      <c r="F25" s="199" t="n"/>
      <c r="G25" s="193" t="n"/>
      <c r="H25" s="200" t="n"/>
      <c r="I25" s="194" t="n"/>
      <c r="J25" s="192" t="n"/>
      <c r="K25" s="192" t="n"/>
      <c r="L25" s="192" t="n"/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90" t="n"/>
      <c r="B26" s="191" t="n"/>
      <c r="C26" s="191" t="n"/>
      <c r="D26" s="191" t="n"/>
      <c r="E26" s="197" t="n"/>
      <c r="F26" s="197" t="n"/>
      <c r="G26" s="190" t="n"/>
      <c r="H26" s="198" t="n"/>
      <c r="I26" s="191" t="n"/>
      <c r="J26" s="192" t="n"/>
      <c r="K26" s="192" t="n"/>
      <c r="L26" s="192" t="n"/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93" t="n"/>
      <c r="B27" s="194" t="n"/>
      <c r="C27" s="194" t="n"/>
      <c r="D27" s="194" t="n"/>
      <c r="E27" s="199" t="n"/>
      <c r="F27" s="199" t="n"/>
      <c r="G27" s="193" t="n"/>
      <c r="H27" s="200" t="n"/>
      <c r="I27" s="194" t="n"/>
      <c r="J27" s="192" t="n"/>
      <c r="K27" s="192" t="n"/>
      <c r="L27" s="192" t="n"/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90" t="n"/>
      <c r="B28" s="191" t="n"/>
      <c r="C28" s="191" t="n"/>
      <c r="D28" s="191" t="n"/>
      <c r="E28" s="197" t="n"/>
      <c r="F28" s="197" t="n"/>
      <c r="G28" s="190" t="n"/>
      <c r="H28" s="198" t="n"/>
      <c r="I28" s="191" t="n"/>
      <c r="J28" s="192" t="n"/>
      <c r="K28" s="192" t="n"/>
      <c r="L28" s="192" t="n"/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93" t="n"/>
      <c r="B29" s="194" t="n"/>
      <c r="C29" s="194" t="n"/>
      <c r="D29" s="194" t="n"/>
      <c r="E29" s="199" t="n"/>
      <c r="F29" s="199" t="n"/>
      <c r="G29" s="193" t="n"/>
      <c r="H29" s="200" t="n"/>
      <c r="I29" s="194" t="n"/>
      <c r="J29" s="192" t="n"/>
      <c r="K29" s="192" t="n"/>
      <c r="L29" s="192" t="n"/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90" t="n"/>
      <c r="B30" s="191" t="n"/>
      <c r="C30" s="191" t="n"/>
      <c r="D30" s="191" t="n"/>
      <c r="E30" s="197" t="n"/>
      <c r="F30" s="197" t="n"/>
      <c r="G30" s="190" t="n"/>
      <c r="H30" s="198" t="n"/>
      <c r="I30" s="191" t="n"/>
      <c r="J30" s="192" t="n"/>
      <c r="K30" s="192" t="n"/>
      <c r="L30" s="192" t="n"/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93" t="n"/>
      <c r="B31" s="194" t="n"/>
      <c r="C31" s="194" t="n"/>
      <c r="D31" s="194" t="n"/>
      <c r="E31" s="199" t="n"/>
      <c r="F31" s="199" t="n"/>
      <c r="G31" s="193" t="n"/>
      <c r="H31" s="200" t="n"/>
      <c r="I31" s="194" t="n"/>
      <c r="J31" s="192" t="n"/>
      <c r="K31" s="192" t="n"/>
      <c r="L31" s="192" t="n"/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90" t="n"/>
      <c r="B32" s="191" t="n"/>
      <c r="C32" s="191" t="n"/>
      <c r="D32" s="191" t="n"/>
      <c r="E32" s="197" t="n"/>
      <c r="F32" s="197" t="n"/>
      <c r="G32" s="190" t="n"/>
      <c r="H32" s="198" t="n"/>
      <c r="I32" s="191" t="n"/>
      <c r="J32" s="192" t="n"/>
      <c r="K32" s="192" t="n"/>
      <c r="L32" s="192" t="n"/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93" t="n"/>
      <c r="B33" s="194" t="n"/>
      <c r="C33" s="194" t="n"/>
      <c r="D33" s="194" t="n"/>
      <c r="E33" s="199" t="n"/>
      <c r="F33" s="199" t="n"/>
      <c r="G33" s="193" t="n"/>
      <c r="H33" s="200" t="n"/>
      <c r="I33" s="194" t="n"/>
      <c r="J33" s="192" t="n"/>
      <c r="K33" s="192" t="n"/>
      <c r="L33" s="192" t="n"/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90" t="n"/>
      <c r="B34" s="191" t="n"/>
      <c r="C34" s="191" t="n"/>
      <c r="D34" s="191" t="n"/>
      <c r="E34" s="197" t="n"/>
      <c r="F34" s="197" t="n"/>
      <c r="G34" s="190" t="n"/>
      <c r="H34" s="198" t="n"/>
      <c r="I34" s="191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93" t="n"/>
      <c r="B35" s="194" t="n"/>
      <c r="C35" s="194" t="n"/>
      <c r="D35" s="194" t="n"/>
      <c r="E35" s="199" t="n"/>
      <c r="F35" s="199" t="n"/>
      <c r="G35" s="193" t="n"/>
      <c r="H35" s="200" t="n"/>
      <c r="I35" s="194" t="n"/>
      <c r="J35" s="192" t="n"/>
      <c r="K35" s="192" t="n"/>
      <c r="L35" s="192" t="n"/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90" t="n"/>
      <c r="B36" s="191" t="n"/>
      <c r="C36" s="191" t="n"/>
      <c r="D36" s="191" t="n"/>
      <c r="E36" s="197" t="n"/>
      <c r="F36" s="197" t="n"/>
      <c r="G36" s="190" t="n"/>
      <c r="H36" s="198" t="n"/>
      <c r="I36" s="191" t="n"/>
      <c r="J36" s="192" t="n"/>
      <c r="K36" s="192" t="n"/>
      <c r="L36" s="192" t="n"/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93" t="n"/>
      <c r="B37" s="194" t="n"/>
      <c r="C37" s="194" t="n"/>
      <c r="D37" s="194" t="n"/>
      <c r="E37" s="199" t="n"/>
      <c r="F37" s="199" t="n"/>
      <c r="G37" s="193" t="n"/>
      <c r="H37" s="200" t="n"/>
      <c r="I37" s="194" t="n"/>
      <c r="J37" s="192" t="n"/>
      <c r="K37" s="192" t="n"/>
      <c r="L37" s="192" t="n"/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90" t="n"/>
      <c r="B38" s="191" t="n"/>
      <c r="C38" s="191" t="n"/>
      <c r="D38" s="191" t="n"/>
      <c r="E38" s="197" t="n"/>
      <c r="F38" s="197" t="n"/>
      <c r="G38" s="190" t="n"/>
      <c r="H38" s="198" t="n"/>
      <c r="I38" s="191" t="n"/>
      <c r="J38" s="192" t="n"/>
      <c r="K38" s="192" t="n"/>
      <c r="L38" s="192" t="n"/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93" t="n"/>
      <c r="B39" s="194" t="n"/>
      <c r="C39" s="194" t="n"/>
      <c r="D39" s="194" t="n"/>
      <c r="E39" s="199" t="n"/>
      <c r="F39" s="199" t="n"/>
      <c r="G39" s="193" t="n"/>
      <c r="H39" s="200" t="n"/>
      <c r="I39" s="194" t="n"/>
      <c r="J39" s="192" t="n"/>
      <c r="K39" s="192" t="n"/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90" t="n"/>
      <c r="B40" s="191" t="n"/>
      <c r="C40" s="191" t="n"/>
      <c r="D40" s="191" t="n"/>
      <c r="E40" s="197" t="n"/>
      <c r="F40" s="197" t="n"/>
      <c r="G40" s="190" t="n"/>
      <c r="H40" s="198" t="n"/>
      <c r="I40" s="191" t="n"/>
      <c r="J40" s="192" t="n"/>
      <c r="K40" s="192" t="n"/>
      <c r="L40" s="192" t="n"/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93" t="n"/>
      <c r="B41" s="194" t="n"/>
      <c r="C41" s="194" t="n"/>
      <c r="D41" s="194" t="n"/>
      <c r="E41" s="199" t="n"/>
      <c r="F41" s="199" t="n"/>
      <c r="G41" s="193" t="n"/>
      <c r="H41" s="200" t="n"/>
      <c r="I41" s="194" t="n"/>
      <c r="J41" s="192" t="n"/>
      <c r="K41" s="192" t="n"/>
      <c r="L41" s="192" t="n"/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90" t="n"/>
      <c r="B42" s="191" t="n"/>
      <c r="C42" s="191" t="n"/>
      <c r="D42" s="191" t="n"/>
      <c r="E42" s="197" t="n"/>
      <c r="F42" s="197" t="n"/>
      <c r="G42" s="190" t="n"/>
      <c r="H42" s="198" t="n"/>
      <c r="I42" s="191" t="n"/>
      <c r="J42" s="192" t="n"/>
      <c r="K42" s="192" t="n"/>
      <c r="L42" s="192" t="n"/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93" t="n"/>
      <c r="B43" s="194" t="n"/>
      <c r="C43" s="194" t="n"/>
      <c r="D43" s="194" t="n"/>
      <c r="E43" s="199" t="n"/>
      <c r="F43" s="199" t="n"/>
      <c r="G43" s="193" t="n"/>
      <c r="H43" s="200" t="n"/>
      <c r="I43" s="194" t="n"/>
      <c r="J43" s="192" t="n"/>
      <c r="K43" s="192" t="n"/>
      <c r="L43" s="192" t="n"/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90" t="n"/>
      <c r="B44" s="191" t="n"/>
      <c r="C44" s="191" t="n"/>
      <c r="D44" s="191" t="n"/>
      <c r="E44" s="197" t="n"/>
      <c r="F44" s="197" t="n"/>
      <c r="G44" s="190" t="n"/>
      <c r="H44" s="198" t="n"/>
      <c r="I44" s="191" t="n"/>
      <c r="J44" s="192" t="n"/>
      <c r="K44" s="192" t="n"/>
      <c r="L44" s="192" t="n"/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93" t="n"/>
      <c r="B45" s="194" t="n"/>
      <c r="C45" s="194" t="n"/>
      <c r="D45" s="194" t="n"/>
      <c r="E45" s="199" t="n"/>
      <c r="F45" s="199" t="n"/>
      <c r="G45" s="193" t="n"/>
      <c r="H45" s="200" t="n"/>
      <c r="I45" s="194" t="n"/>
      <c r="J45" s="192" t="n"/>
      <c r="K45" s="192" t="n"/>
      <c r="L45" s="192" t="n"/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90" t="n"/>
      <c r="B46" s="191" t="n"/>
      <c r="C46" s="191" t="n"/>
      <c r="D46" s="191" t="n"/>
      <c r="E46" s="197" t="n"/>
      <c r="F46" s="197" t="n"/>
      <c r="G46" s="190" t="n"/>
      <c r="H46" s="198" t="n"/>
      <c r="I46" s="191" t="n"/>
      <c r="J46" s="192" t="n"/>
      <c r="K46" s="192" t="n"/>
      <c r="L46" s="192" t="n"/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93" t="n"/>
      <c r="B47" s="194" t="n"/>
      <c r="C47" s="194" t="n"/>
      <c r="D47" s="194" t="n"/>
      <c r="E47" s="199" t="n"/>
      <c r="F47" s="199" t="n"/>
      <c r="G47" s="193" t="n"/>
      <c r="H47" s="200" t="n"/>
      <c r="I47" s="194" t="n"/>
      <c r="J47" s="192" t="n"/>
      <c r="K47" s="192" t="n"/>
      <c r="L47" s="192" t="n"/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90" t="n"/>
      <c r="B48" s="191" t="n"/>
      <c r="C48" s="191" t="n"/>
      <c r="D48" s="191" t="n"/>
      <c r="E48" s="197" t="n"/>
      <c r="F48" s="197" t="n"/>
      <c r="G48" s="190" t="n"/>
      <c r="H48" s="198" t="n"/>
      <c r="I48" s="191" t="n"/>
      <c r="J48" s="192" t="n"/>
      <c r="K48" s="192" t="n"/>
      <c r="L48" s="192" t="n"/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93" t="n"/>
      <c r="B49" s="194" t="n"/>
      <c r="C49" s="194" t="n"/>
      <c r="D49" s="194" t="n"/>
      <c r="E49" s="199" t="n"/>
      <c r="F49" s="199" t="n"/>
      <c r="G49" s="193" t="n"/>
      <c r="H49" s="200" t="n"/>
      <c r="I49" s="194" t="n"/>
      <c r="J49" s="192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90" t="n"/>
      <c r="B50" s="191" t="n"/>
      <c r="C50" s="191" t="n"/>
      <c r="D50" s="191" t="n"/>
      <c r="E50" s="197" t="n"/>
      <c r="F50" s="197" t="n"/>
      <c r="G50" s="190" t="n"/>
      <c r="H50" s="198" t="n"/>
      <c r="I50" s="191" t="n"/>
      <c r="J50" s="192" t="n"/>
      <c r="K50" s="192" t="n"/>
      <c r="L50" s="192" t="n"/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93" t="n"/>
      <c r="B51" s="194" t="n"/>
      <c r="C51" s="194" t="n"/>
      <c r="D51" s="194" t="n"/>
      <c r="E51" s="199" t="n"/>
      <c r="F51" s="199" t="n"/>
      <c r="G51" s="193" t="n"/>
      <c r="H51" s="200" t="n"/>
      <c r="I51" s="194" t="n"/>
      <c r="J51" s="192" t="n"/>
      <c r="K51" s="192" t="n"/>
      <c r="L51" s="192" t="n"/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90" t="n"/>
      <c r="B52" s="191" t="n"/>
      <c r="C52" s="191" t="n"/>
      <c r="D52" s="191" t="n"/>
      <c r="E52" s="197" t="n"/>
      <c r="F52" s="197" t="n"/>
      <c r="G52" s="190" t="n"/>
      <c r="H52" s="198" t="n"/>
      <c r="I52" s="191" t="n"/>
      <c r="J52" s="192" t="n"/>
      <c r="K52" s="192" t="n"/>
      <c r="L52" s="192" t="n"/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93" t="n"/>
      <c r="B53" s="194" t="n"/>
      <c r="C53" s="194" t="n"/>
      <c r="D53" s="194" t="n"/>
      <c r="E53" s="199" t="n"/>
      <c r="F53" s="199" t="n"/>
      <c r="G53" s="193" t="n"/>
      <c r="H53" s="200" t="n"/>
      <c r="I53" s="194" t="n"/>
      <c r="J53" s="192" t="n"/>
      <c r="K53" s="192" t="n"/>
      <c r="L53" s="192" t="n"/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90" t="n"/>
      <c r="B54" s="191" t="n"/>
      <c r="C54" s="191" t="n"/>
      <c r="D54" s="191" t="n"/>
      <c r="E54" s="197" t="n"/>
      <c r="F54" s="197" t="n"/>
      <c r="G54" s="190" t="n"/>
      <c r="H54" s="198" t="n"/>
      <c r="I54" s="191" t="n"/>
      <c r="J54" s="192" t="n"/>
      <c r="K54" s="192" t="n"/>
      <c r="L54" s="192" t="n"/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93" t="n"/>
      <c r="B55" s="194" t="n"/>
      <c r="C55" s="194" t="n"/>
      <c r="D55" s="194" t="n"/>
      <c r="E55" s="199" t="n"/>
      <c r="F55" s="199" t="n"/>
      <c r="G55" s="193" t="n"/>
      <c r="H55" s="200" t="n"/>
      <c r="I55" s="194" t="n"/>
      <c r="J55" s="192" t="n"/>
      <c r="K55" s="192" t="n"/>
      <c r="L55" s="192" t="n"/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90" t="n"/>
      <c r="B56" s="191" t="n"/>
      <c r="C56" s="191" t="n"/>
      <c r="D56" s="191" t="n"/>
      <c r="E56" s="197" t="n"/>
      <c r="F56" s="197" t="n"/>
      <c r="G56" s="190" t="n"/>
      <c r="H56" s="198" t="n"/>
      <c r="I56" s="191" t="n"/>
      <c r="J56" s="192" t="n"/>
      <c r="K56" s="192" t="n"/>
      <c r="L56" s="192" t="n"/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93" t="n"/>
      <c r="B57" s="194" t="n"/>
      <c r="C57" s="194" t="n"/>
      <c r="D57" s="194" t="n"/>
      <c r="E57" s="199" t="n"/>
      <c r="F57" s="199" t="n"/>
      <c r="G57" s="193" t="n"/>
      <c r="H57" s="200" t="n"/>
      <c r="I57" s="194" t="n"/>
      <c r="J57" s="192" t="n"/>
      <c r="K57" s="192" t="n"/>
      <c r="L57" s="192" t="n"/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90" t="n"/>
      <c r="B58" s="191" t="n"/>
      <c r="C58" s="191" t="n"/>
      <c r="D58" s="191" t="n"/>
      <c r="E58" s="197" t="n"/>
      <c r="F58" s="197" t="n"/>
      <c r="G58" s="190" t="n"/>
      <c r="H58" s="198" t="n"/>
      <c r="I58" s="191" t="n"/>
      <c r="J58" s="192" t="n"/>
      <c r="K58" s="192" t="n"/>
      <c r="L58" s="192" t="n"/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93" t="n"/>
      <c r="B59" s="194" t="n"/>
      <c r="C59" s="194" t="n"/>
      <c r="D59" s="194" t="n"/>
      <c r="E59" s="199" t="n"/>
      <c r="F59" s="199" t="n"/>
      <c r="G59" s="193" t="n"/>
      <c r="H59" s="200" t="n"/>
      <c r="I59" s="194" t="n"/>
      <c r="J59" s="192" t="n"/>
      <c r="K59" s="192" t="n"/>
      <c r="L59" s="192" t="n"/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96" t="n"/>
      <c r="B60" s="196" t="n"/>
      <c r="C60" s="196" t="n"/>
      <c r="D60" s="196" t="n"/>
      <c r="E60" s="196" t="n"/>
      <c r="F60" s="196" t="n"/>
      <c r="G60" s="196" t="n"/>
      <c r="H60" s="196" t="n"/>
      <c r="I60" s="196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95" t="n"/>
      <c r="B61" s="195" t="n"/>
      <c r="C61" s="195" t="n"/>
      <c r="D61" s="195" t="n"/>
      <c r="E61" s="195" t="n"/>
      <c r="F61" s="195" t="n"/>
      <c r="G61" s="195" t="n"/>
      <c r="H61" s="195" t="n"/>
      <c r="I61" s="195" t="n"/>
      <c r="J61" s="192" t="n"/>
      <c r="K61" s="192" t="n"/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96" t="n"/>
      <c r="B62" s="196" t="n"/>
      <c r="C62" s="196" t="n"/>
      <c r="D62" s="196" t="n"/>
      <c r="E62" s="196" t="n"/>
      <c r="F62" s="196" t="n"/>
      <c r="G62" s="196" t="n"/>
      <c r="H62" s="196" t="n"/>
      <c r="I62" s="196" t="n"/>
      <c r="J62" s="192" t="n"/>
      <c r="K62" s="192" t="n"/>
      <c r="L62" s="192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95" t="n"/>
      <c r="B63" s="195" t="n"/>
      <c r="C63" s="195" t="n"/>
      <c r="D63" s="195" t="n"/>
      <c r="E63" s="195" t="n"/>
      <c r="F63" s="195" t="n"/>
      <c r="G63" s="195" t="n"/>
      <c r="H63" s="195" t="n"/>
      <c r="I63" s="195" t="n"/>
      <c r="J63" s="192" t="n"/>
      <c r="K63" s="192" t="n"/>
      <c r="L63" s="192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96" t="n"/>
      <c r="B64" s="196" t="n"/>
      <c r="C64" s="196" t="n"/>
      <c r="D64" s="196" t="n"/>
      <c r="E64" s="196" t="n"/>
      <c r="F64" s="196" t="n"/>
      <c r="G64" s="196" t="n"/>
      <c r="H64" s="196" t="n"/>
      <c r="I64" s="196" t="n"/>
      <c r="J64" s="192" t="n"/>
      <c r="K64" s="192" t="n"/>
      <c r="L64" s="192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92" t="n"/>
      <c r="B65" s="192" t="n"/>
      <c r="C65" s="192" t="n"/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92" t="n"/>
      <c r="B66" s="192" t="n"/>
      <c r="C66" s="192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92" t="n"/>
      <c r="B69" s="192" t="n"/>
      <c r="C69" s="192" t="n"/>
      <c r="D69" s="192" t="n"/>
      <c r="E69" s="192" t="n"/>
      <c r="F69" s="192" t="n"/>
      <c r="G69" s="192" t="n"/>
      <c r="H69" s="192" t="n"/>
      <c r="I69" s="192" t="n"/>
      <c r="J69" s="192" t="n"/>
      <c r="K69" s="192" t="n"/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92" t="n"/>
      <c r="B70" s="192" t="n"/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92" t="n"/>
      <c r="B72" s="192" t="n"/>
      <c r="C72" s="192" t="n"/>
      <c r="D72" s="192" t="n"/>
      <c r="E72" s="192" t="n"/>
      <c r="F72" s="192" t="n"/>
      <c r="G72" s="192" t="n"/>
      <c r="H72" s="192" t="n"/>
      <c r="I72" s="192" t="n"/>
      <c r="J72" s="192" t="n"/>
      <c r="K72" s="192" t="n"/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92" t="n"/>
      <c r="B73" s="192" t="n"/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92" t="n"/>
      <c r="B74" s="192" t="n"/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92" t="n"/>
      <c r="B76" s="192" t="n"/>
      <c r="C76" s="192" t="n"/>
      <c r="D76" s="192" t="n"/>
      <c r="E76" s="192" t="n"/>
      <c r="F76" s="192" t="n"/>
      <c r="G76" s="192" t="n"/>
      <c r="H76" s="192" t="n"/>
      <c r="I76" s="192" t="n"/>
      <c r="J76" s="192" t="n"/>
      <c r="K76" s="192" t="n"/>
      <c r="L76" s="192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92" t="n"/>
      <c r="B77" s="192" t="n"/>
      <c r="C77" s="192" t="n"/>
      <c r="D77" s="192" t="n"/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92" t="n"/>
      <c r="B78" s="192" t="n"/>
      <c r="C78" s="192" t="n"/>
      <c r="D78" s="192" t="n"/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92" t="n"/>
      <c r="B79" s="192" t="n"/>
      <c r="C79" s="192" t="n"/>
      <c r="D79" s="192" t="n"/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92" t="n"/>
      <c r="B80" s="192" t="n"/>
      <c r="C80" s="192" t="n"/>
      <c r="D80" s="192" t="n"/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92" t="n"/>
      <c r="B82" s="192" t="n"/>
      <c r="C82" s="192" t="n"/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92" t="n"/>
      <c r="B83" s="192" t="n"/>
      <c r="C83" s="192" t="n"/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92" t="n"/>
      <c r="B84" s="192" t="n"/>
      <c r="C84" s="192" t="n"/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92" t="n"/>
      <c r="B85" s="192" t="n"/>
      <c r="C85" s="192" t="n"/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92" t="n"/>
      <c r="B86" s="192" t="n"/>
      <c r="C86" s="192" t="n"/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92" t="n"/>
      <c r="B87" s="192" t="n"/>
      <c r="C87" s="192" t="n"/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92" t="n"/>
      <c r="B88" s="192" t="n"/>
      <c r="C88" s="192" t="n"/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2F65CB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2"/>
    <col width="22" customWidth="1" style="22" min="3" max="3"/>
    <col width="12" customWidth="1" style="22" min="4" max="4"/>
    <col width="26" customWidth="1" style="22" min="5" max="5"/>
    <col width="12" customWidth="1" style="22" min="6" max="6"/>
    <col width="14" customWidth="1" style="22" min="7" max="7"/>
    <col width="16" customWidth="1" style="22" min="8" max="8"/>
    <col width="14" customWidth="1" style="22" min="9" max="9"/>
    <col width="10" customWidth="1" style="22" min="10" max="11"/>
    <col width="16" customWidth="1" style="22" min="12" max="13"/>
  </cols>
  <sheetData>
    <row r="1" ht="6" customHeight="1" s="22">
      <c r="A1" s="132" t="inlineStr">
        <is>
          <t>Registro de ventas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📋  REGISTRO DE VENTAS</t>
        </is>
      </c>
      <c r="Q2" s="135" t="inlineStr">
        <is>
          <t>Módulo Comercial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201">
        <f>SUMIFS(H8:H89,J8:J89,MONTH(TODAY()),K8:K89,YEAR(TODAY()))</f>
        <v/>
      </c>
      <c r="N3" s="55" t="n"/>
      <c r="O3" s="103" t="inlineStr">
        <is>
          <t>Ventas del mes</t>
        </is>
      </c>
      <c r="P3" s="103" t="n"/>
      <c r="Q3" s="202">
        <f>SUM(H8:H89)</f>
        <v/>
      </c>
      <c r="R3" s="103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18" customHeight="1" s="22">
      <c r="A4" s="31" t="inlineStr">
        <is>
          <t>Registro comercial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203" t="inlineStr">
        <is>
          <t>RESUMEN DEL MES</t>
        </is>
      </c>
      <c r="P4" s="204" t="n"/>
      <c r="Q4" s="204" t="n"/>
      <c r="R4" s="205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6" customHeight="1" s="22">
      <c r="G5" s="1" t="n"/>
      <c r="H5" s="1" t="n"/>
      <c r="I5" s="1" t="n"/>
      <c r="J5" s="1" t="n"/>
      <c r="K5" s="1" t="n"/>
      <c r="L5" s="1" t="n"/>
      <c r="M5" s="1" t="n"/>
      <c r="N5" s="1" t="n"/>
      <c r="O5" s="206" t="inlineStr">
        <is>
          <t>Ventas del mes</t>
        </is>
      </c>
      <c r="Q5" s="207">
        <f>SUMIFS(H8:H89,J8:J89,MONTH(TODAY()),K8:K89,YEAR(TODAY()))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16" customHeight="1" s="2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206" t="inlineStr">
        <is>
          <t>N° documentos</t>
        </is>
      </c>
      <c r="Q6" s="208">
        <f>COUNTIF(A8:A89,"&lt;&gt;")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6" customHeight="1" s="22">
      <c r="A7" s="39" t="inlineStr">
        <is>
          <t>N° DOC</t>
        </is>
      </c>
      <c r="B7" s="39" t="inlineStr">
        <is>
          <t>FECHA</t>
        </is>
      </c>
      <c r="C7" s="39" t="inlineStr">
        <is>
          <t>CLIENTE</t>
        </is>
      </c>
      <c r="D7" s="39" t="inlineStr">
        <is>
          <t>CÓDIGO</t>
        </is>
      </c>
      <c r="E7" s="39" t="inlineStr">
        <is>
          <t>PRODUCTO</t>
        </is>
      </c>
      <c r="F7" s="39" t="inlineStr">
        <is>
          <t>CANTIDAD</t>
        </is>
      </c>
      <c r="G7" s="39" t="inlineStr">
        <is>
          <t>P. UNIT</t>
        </is>
      </c>
      <c r="H7" s="39" t="inlineStr">
        <is>
          <t>TOTAL</t>
        </is>
      </c>
      <c r="I7" s="39" t="inlineStr">
        <is>
          <t>ESTADO COBRO</t>
        </is>
      </c>
      <c r="J7" s="39" t="inlineStr">
        <is>
          <t>MES</t>
        </is>
      </c>
      <c r="K7" s="39" t="inlineStr">
        <is>
          <t>AÑO</t>
        </is>
      </c>
      <c r="L7" s="39" t="inlineStr">
        <is>
          <t>OBS.</t>
        </is>
      </c>
      <c r="M7" s="39" t="inlineStr">
        <is>
          <t>UTILIDAD</t>
        </is>
      </c>
      <c r="N7" s="1" t="n"/>
      <c r="O7" s="206" t="inlineStr">
        <is>
          <t>Ticket promedio</t>
        </is>
      </c>
      <c r="Q7" s="207">
        <f>IFERROR(SUMIFS(H8:H89,J8:J89,MONTH(TODAY()),K8:K89,YEAR(TODAY()))/COUNTIFS(J8:J89,MONTH(TODAY()),K8:K89,YEAR(TODAY())),0)</f>
        <v/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6" customHeight="1" s="22">
      <c r="A8" s="190" t="n">
        <v>1</v>
      </c>
      <c r="B8" s="209" t="n">
        <v>46113</v>
      </c>
      <c r="C8" s="191" t="inlineStr">
        <is>
          <t>Cliente Demo SpA</t>
        </is>
      </c>
      <c r="D8" s="190" t="inlineStr">
        <is>
          <t>PR001</t>
        </is>
      </c>
      <c r="E8" s="210">
        <f>IFERROR(VLOOKUP(D8,Productos!$A$5:$I$59,3,FALSE),"")</f>
        <v/>
      </c>
      <c r="F8" s="190" t="n">
        <v>15</v>
      </c>
      <c r="G8" s="211">
        <f>IFERROR(VLOOKUP(D8,Productos!$A$5:$I$59,5,FALSE),0)</f>
        <v/>
      </c>
      <c r="H8" s="212">
        <f>IFERROR(F8*G8,0)</f>
        <v/>
      </c>
      <c r="I8" s="190" t="inlineStr">
        <is>
          <t>Cobrado</t>
        </is>
      </c>
      <c r="J8" s="213">
        <f>IF(B8="","",MONTH(B8))</f>
        <v/>
      </c>
      <c r="K8" s="213">
        <f>IF(B8="","",YEAR(B8))</f>
        <v/>
      </c>
      <c r="L8" s="191" t="inlineStr">
        <is>
          <t>Demo</t>
        </is>
      </c>
      <c r="M8" s="212">
        <f>IFERROR(H8-(F8*VLOOKUP(D8,Productos!$A$5:$I$59,6,FALSE)),0)</f>
        <v/>
      </c>
      <c r="N8" s="192" t="n"/>
      <c r="O8" s="206" t="inlineStr">
        <is>
          <t>Pendiente cobro</t>
        </is>
      </c>
      <c r="P8" s="214" t="n"/>
      <c r="Q8" s="207">
        <f>SUMIFS(H8:H89,I8:I89,"Pendiente")</f>
        <v/>
      </c>
      <c r="R8" s="214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93" t="n">
        <v>2</v>
      </c>
      <c r="B9" s="215" t="n">
        <v>46115</v>
      </c>
      <c r="C9" s="194" t="inlineStr">
        <is>
          <t>Comercial Andes Ltda.</t>
        </is>
      </c>
      <c r="D9" s="193" t="inlineStr">
        <is>
          <t>PR002</t>
        </is>
      </c>
      <c r="E9" s="216">
        <f>IFERROR(VLOOKUP(D9,Productos!$A$5:$I$59,3,FALSE),"")</f>
        <v/>
      </c>
      <c r="F9" s="193" t="n">
        <v>30</v>
      </c>
      <c r="G9" s="217">
        <f>IFERROR(VLOOKUP(D9,Productos!$A$5:$I$59,5,FALSE),0)</f>
        <v/>
      </c>
      <c r="H9" s="218">
        <f>IFERROR(F9*G9,0)</f>
        <v/>
      </c>
      <c r="I9" s="193" t="inlineStr">
        <is>
          <t>Cobrado</t>
        </is>
      </c>
      <c r="J9" s="219">
        <f>IF(B9="","",MONTH(B9))</f>
        <v/>
      </c>
      <c r="K9" s="219">
        <f>IF(B9="","",YEAR(B9))</f>
        <v/>
      </c>
      <c r="L9" s="194" t="inlineStr">
        <is>
          <t>Demo</t>
        </is>
      </c>
      <c r="M9" s="218">
        <f>IFERROR(H9-(F9*VLOOKUP(D9,Productos!$A$5:$I$59,6,FALSE)),0)</f>
        <v/>
      </c>
      <c r="N9" s="192" t="n"/>
      <c r="O9" s="220" t="n"/>
      <c r="P9" s="221" t="n"/>
      <c r="Q9" s="222" t="n"/>
      <c r="R9" s="221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90" t="n">
        <v>3</v>
      </c>
      <c r="B10" s="209" t="n">
        <v>46117</v>
      </c>
      <c r="C10" s="191" t="inlineStr">
        <is>
          <t>Cliente Demo SpA</t>
        </is>
      </c>
      <c r="D10" s="190" t="inlineStr">
        <is>
          <t>PR003</t>
        </is>
      </c>
      <c r="E10" s="210">
        <f>IFERROR(VLOOKUP(D10,Productos!$A$5:$I$59,3,FALSE),"")</f>
        <v/>
      </c>
      <c r="F10" s="190" t="n">
        <v>8</v>
      </c>
      <c r="G10" s="211">
        <f>IFERROR(VLOOKUP(D10,Productos!$A$5:$I$59,5,FALSE),0)</f>
        <v/>
      </c>
      <c r="H10" s="212">
        <f>IFERROR(F10*G10,0)</f>
        <v/>
      </c>
      <c r="I10" s="190" t="inlineStr">
        <is>
          <t>Cobrado</t>
        </is>
      </c>
      <c r="J10" s="213">
        <f>IF(B10="","",MONTH(B10))</f>
        <v/>
      </c>
      <c r="K10" s="213">
        <f>IF(B10="","",YEAR(B10))</f>
        <v/>
      </c>
      <c r="L10" s="191" t="inlineStr">
        <is>
          <t>Demo</t>
        </is>
      </c>
      <c r="M10" s="212">
        <f>IFERROR(H10-(F10*VLOOKUP(D10,Productos!$A$5:$I$59,6,FALSE)),0)</f>
        <v/>
      </c>
      <c r="N10" s="192" t="n"/>
      <c r="O10" s="221" t="n"/>
      <c r="P10" s="221" t="n"/>
      <c r="Q10" s="221" t="n"/>
      <c r="R10" s="221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93" t="n">
        <v>4</v>
      </c>
      <c r="B11" s="215" t="n">
        <v>46120</v>
      </c>
      <c r="C11" s="194" t="inlineStr">
        <is>
          <t>Comercial Andes Ltda.</t>
        </is>
      </c>
      <c r="D11" s="193" t="inlineStr">
        <is>
          <t>PR004</t>
        </is>
      </c>
      <c r="E11" s="216">
        <f>IFERROR(VLOOKUP(D11,Productos!$A$5:$I$59,3,FALSE),"")</f>
        <v/>
      </c>
      <c r="F11" s="193" t="n">
        <v>4</v>
      </c>
      <c r="G11" s="217">
        <f>IFERROR(VLOOKUP(D11,Productos!$A$5:$I$59,5,FALSE),0)</f>
        <v/>
      </c>
      <c r="H11" s="218">
        <f>IFERROR(F11*G11,0)</f>
        <v/>
      </c>
      <c r="I11" s="193" t="inlineStr">
        <is>
          <t>Pendiente</t>
        </is>
      </c>
      <c r="J11" s="219">
        <f>IF(B11="","",MONTH(B11))</f>
        <v/>
      </c>
      <c r="K11" s="219">
        <f>IF(B11="","",YEAR(B11))</f>
        <v/>
      </c>
      <c r="L11" s="194" t="inlineStr">
        <is>
          <t>Demo</t>
        </is>
      </c>
      <c r="M11" s="218">
        <f>IFERROR(H11-(F11*VLOOKUP(D11,Productos!$A$5:$I$59,6,FALSE)),0)</f>
        <v/>
      </c>
      <c r="N11" s="192" t="n"/>
      <c r="O11" s="220" t="n"/>
      <c r="P11" s="221" t="n"/>
      <c r="Q11" s="223" t="n"/>
      <c r="R11" s="221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90" t="n">
        <v>5</v>
      </c>
      <c r="B12" s="209" t="n">
        <v>46122</v>
      </c>
      <c r="C12" s="191" t="inlineStr">
        <is>
          <t>Cliente Demo SpA</t>
        </is>
      </c>
      <c r="D12" s="190" t="inlineStr">
        <is>
          <t>PR001</t>
        </is>
      </c>
      <c r="E12" s="210">
        <f>IFERROR(VLOOKUP(D12,Productos!$A$5:$I$59,3,FALSE),"")</f>
        <v/>
      </c>
      <c r="F12" s="190" t="n">
        <v>20</v>
      </c>
      <c r="G12" s="211">
        <f>IFERROR(VLOOKUP(D12,Productos!$A$5:$I$59,5,FALSE),0)</f>
        <v/>
      </c>
      <c r="H12" s="212">
        <f>IFERROR(F12*G12,0)</f>
        <v/>
      </c>
      <c r="I12" s="190" t="inlineStr">
        <is>
          <t>Cobrado</t>
        </is>
      </c>
      <c r="J12" s="213">
        <f>IF(B12="","",MONTH(B12))</f>
        <v/>
      </c>
      <c r="K12" s="213">
        <f>IF(B12="","",YEAR(B12))</f>
        <v/>
      </c>
      <c r="L12" s="191" t="inlineStr">
        <is>
          <t>Demo</t>
        </is>
      </c>
      <c r="M12" s="212">
        <f>IFERROR(H12-(F12*VLOOKUP(D12,Productos!$A$5:$I$59,6,FALSE)),0)</f>
        <v/>
      </c>
      <c r="N12" s="192" t="n"/>
      <c r="O12" s="221" t="n"/>
      <c r="P12" s="221" t="n"/>
      <c r="Q12" s="221" t="n"/>
      <c r="R12" s="221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93" t="n">
        <v>6</v>
      </c>
      <c r="B13" s="215" t="n">
        <v>46124</v>
      </c>
      <c r="C13" s="194" t="inlineStr">
        <is>
          <t>Comercial Andes Ltda.</t>
        </is>
      </c>
      <c r="D13" s="193" t="inlineStr">
        <is>
          <t>PR002</t>
        </is>
      </c>
      <c r="E13" s="216">
        <f>IFERROR(VLOOKUP(D13,Productos!$A$5:$I$59,3,FALSE),"")</f>
        <v/>
      </c>
      <c r="F13" s="193" t="n">
        <v>12</v>
      </c>
      <c r="G13" s="217">
        <f>IFERROR(VLOOKUP(D13,Productos!$A$5:$I$59,5,FALSE),0)</f>
        <v/>
      </c>
      <c r="H13" s="218">
        <f>IFERROR(F13*G13,0)</f>
        <v/>
      </c>
      <c r="I13" s="193" t="inlineStr">
        <is>
          <t>Pendiente</t>
        </is>
      </c>
      <c r="J13" s="219">
        <f>IF(B13="","",MONTH(B13))</f>
        <v/>
      </c>
      <c r="K13" s="219">
        <f>IF(B13="","",YEAR(B13))</f>
        <v/>
      </c>
      <c r="L13" s="194" t="inlineStr">
        <is>
          <t>Demo</t>
        </is>
      </c>
      <c r="M13" s="218">
        <f>IFERROR(H13-(F13*VLOOKUP(D13,Productos!$A$5:$I$59,6,FALSE)),0)</f>
        <v/>
      </c>
      <c r="N13" s="192" t="n"/>
      <c r="O13" s="224" t="inlineStr">
        <is>
          <t>Pendiente de cobro</t>
        </is>
      </c>
      <c r="P13" s="192" t="n"/>
      <c r="Q13" s="225">
        <f>SUMIFS(H8:H89,I8:I89,"Pendiente")+SUMIFS(H8:H89,I8:I89,"Parcial")</f>
        <v/>
      </c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90" t="n">
        <v>7</v>
      </c>
      <c r="B14" s="209" t="n">
        <v>46126</v>
      </c>
      <c r="C14" s="191" t="inlineStr">
        <is>
          <t>Cliente Demo SpA</t>
        </is>
      </c>
      <c r="D14" s="190" t="inlineStr">
        <is>
          <t>PR003</t>
        </is>
      </c>
      <c r="E14" s="210">
        <f>IFERROR(VLOOKUP(D14,Productos!$A$5:$I$59,3,FALSE),"")</f>
        <v/>
      </c>
      <c r="F14" s="190" t="n">
        <v>6</v>
      </c>
      <c r="G14" s="211">
        <f>IFERROR(VLOOKUP(D14,Productos!$A$5:$I$59,5,FALSE),0)</f>
        <v/>
      </c>
      <c r="H14" s="212">
        <f>IFERROR(F14*G14,0)</f>
        <v/>
      </c>
      <c r="I14" s="190" t="inlineStr">
        <is>
          <t>Cobrado</t>
        </is>
      </c>
      <c r="J14" s="213">
        <f>IF(B14="","",MONTH(B14))</f>
        <v/>
      </c>
      <c r="K14" s="213">
        <f>IF(B14="","",YEAR(B14))</f>
        <v/>
      </c>
      <c r="L14" s="191" t="inlineStr">
        <is>
          <t>Demo</t>
        </is>
      </c>
      <c r="M14" s="212">
        <f>IFERROR(H14-(F14*VLOOKUP(D14,Productos!$A$5:$I$59,6,FALSE)),0)</f>
        <v/>
      </c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93" t="n">
        <v>8</v>
      </c>
      <c r="B15" s="215" t="n">
        <v>46128</v>
      </c>
      <c r="C15" s="194" t="inlineStr">
        <is>
          <t>Comercial Andes Ltda.</t>
        </is>
      </c>
      <c r="D15" s="193" t="inlineStr">
        <is>
          <t>PR001</t>
        </is>
      </c>
      <c r="E15" s="216">
        <f>IFERROR(VLOOKUP(D15,Productos!$A$5:$I$59,3,FALSE),"")</f>
        <v/>
      </c>
      <c r="F15" s="193" t="n">
        <v>10</v>
      </c>
      <c r="G15" s="217">
        <f>IFERROR(VLOOKUP(D15,Productos!$A$5:$I$59,5,FALSE),0)</f>
        <v/>
      </c>
      <c r="H15" s="218">
        <f>IFERROR(F15*G15,0)</f>
        <v/>
      </c>
      <c r="I15" s="193" t="inlineStr">
        <is>
          <t>Pendiente</t>
        </is>
      </c>
      <c r="J15" s="219">
        <f>IF(B15="","",MONTH(B15))</f>
        <v/>
      </c>
      <c r="K15" s="219">
        <f>IF(B15="","",YEAR(B15))</f>
        <v/>
      </c>
      <c r="L15" s="194" t="inlineStr">
        <is>
          <t>Demo</t>
        </is>
      </c>
      <c r="M15" s="218">
        <f>IFERROR(H15-(F15*VLOOKUP(D15,Productos!$A$5:$I$59,6,FALSE)),0)</f>
        <v/>
      </c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90" t="n"/>
      <c r="B16" s="209" t="n"/>
      <c r="C16" s="191" t="n"/>
      <c r="D16" s="190" t="n"/>
      <c r="E16" s="210">
        <f>IFERROR(VLOOKUP(D16,Productos!$A$5:$I$59,3,FALSE),"")</f>
        <v/>
      </c>
      <c r="F16" s="190" t="n"/>
      <c r="G16" s="211">
        <f>IFERROR(VLOOKUP(D16,Productos!$A$5:$I$59,5,FALSE),0)</f>
        <v/>
      </c>
      <c r="H16" s="212">
        <f>IFERROR(F16*G16,0)</f>
        <v/>
      </c>
      <c r="I16" s="190" t="n"/>
      <c r="J16" s="213">
        <f>IF(B16="","",MONTH(B16))</f>
        <v/>
      </c>
      <c r="K16" s="213">
        <f>IF(B16="","",YEAR(B16))</f>
        <v/>
      </c>
      <c r="L16" s="191" t="n"/>
      <c r="M16" s="212">
        <f>IFERROR(H16-(F16*VLOOKUP(D16,Productos!$A$5:$I$59,6,FALSE)),0)</f>
        <v/>
      </c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93" t="n"/>
      <c r="B17" s="215" t="n"/>
      <c r="C17" s="194" t="n"/>
      <c r="D17" s="193" t="n"/>
      <c r="E17" s="216">
        <f>IFERROR(VLOOKUP(D17,Productos!$A$5:$I$59,3,FALSE),"")</f>
        <v/>
      </c>
      <c r="F17" s="193" t="n"/>
      <c r="G17" s="217">
        <f>IFERROR(VLOOKUP(D17,Productos!$A$5:$I$59,5,FALSE),0)</f>
        <v/>
      </c>
      <c r="H17" s="218">
        <f>IFERROR(F17*G17,0)</f>
        <v/>
      </c>
      <c r="I17" s="193" t="n"/>
      <c r="J17" s="219">
        <f>IF(B17="","",MONTH(B17))</f>
        <v/>
      </c>
      <c r="K17" s="219">
        <f>IF(B17="","",YEAR(B17))</f>
        <v/>
      </c>
      <c r="L17" s="194" t="n"/>
      <c r="M17" s="218">
        <f>IFERROR(H17-(F17*VLOOKUP(D17,Productos!$A$5:$I$59,6,FALSE)),0)</f>
        <v/>
      </c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90" t="n"/>
      <c r="B18" s="209" t="n"/>
      <c r="C18" s="191" t="n"/>
      <c r="D18" s="190" t="n"/>
      <c r="E18" s="210">
        <f>IFERROR(VLOOKUP(D18,Productos!$A$5:$I$59,3,FALSE),"")</f>
        <v/>
      </c>
      <c r="F18" s="190" t="n"/>
      <c r="G18" s="211">
        <f>IFERROR(VLOOKUP(D18,Productos!$A$5:$I$59,5,FALSE),0)</f>
        <v/>
      </c>
      <c r="H18" s="212">
        <f>IFERROR(F18*G18,0)</f>
        <v/>
      </c>
      <c r="I18" s="190" t="n"/>
      <c r="J18" s="213">
        <f>IF(B18="","",MONTH(B18))</f>
        <v/>
      </c>
      <c r="K18" s="213">
        <f>IF(B18="","",YEAR(B18))</f>
        <v/>
      </c>
      <c r="L18" s="191" t="n"/>
      <c r="M18" s="212">
        <f>IFERROR(H18-(F18*VLOOKUP(D18,Productos!$A$5:$I$59,6,FALSE)),0)</f>
        <v/>
      </c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93" t="n"/>
      <c r="B19" s="215" t="n"/>
      <c r="C19" s="194" t="n"/>
      <c r="D19" s="193" t="n"/>
      <c r="E19" s="216">
        <f>IFERROR(VLOOKUP(D19,Productos!$A$5:$I$59,3,FALSE),"")</f>
        <v/>
      </c>
      <c r="F19" s="193" t="n"/>
      <c r="G19" s="217">
        <f>IFERROR(VLOOKUP(D19,Productos!$A$5:$I$59,5,FALSE),0)</f>
        <v/>
      </c>
      <c r="H19" s="218">
        <f>IFERROR(F19*G19,0)</f>
        <v/>
      </c>
      <c r="I19" s="193" t="n"/>
      <c r="J19" s="219">
        <f>IF(B19="","",MONTH(B19))</f>
        <v/>
      </c>
      <c r="K19" s="219">
        <f>IF(B19="","",YEAR(B19))</f>
        <v/>
      </c>
      <c r="L19" s="194" t="n"/>
      <c r="M19" s="218">
        <f>IFERROR(H19-(F19*VLOOKUP(D19,Productos!$A$5:$I$59,6,FALSE)),0)</f>
        <v/>
      </c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90" t="n"/>
      <c r="B20" s="209" t="n"/>
      <c r="C20" s="191" t="n"/>
      <c r="D20" s="190" t="n"/>
      <c r="E20" s="210">
        <f>IFERROR(VLOOKUP(D20,Productos!$A$5:$I$59,3,FALSE),"")</f>
        <v/>
      </c>
      <c r="F20" s="190" t="n"/>
      <c r="G20" s="211">
        <f>IFERROR(VLOOKUP(D20,Productos!$A$5:$I$59,5,FALSE),0)</f>
        <v/>
      </c>
      <c r="H20" s="212">
        <f>IFERROR(F20*G20,0)</f>
        <v/>
      </c>
      <c r="I20" s="190" t="n"/>
      <c r="J20" s="213">
        <f>IF(B20="","",MONTH(B20))</f>
        <v/>
      </c>
      <c r="K20" s="213">
        <f>IF(B20="","",YEAR(B20))</f>
        <v/>
      </c>
      <c r="L20" s="191" t="n"/>
      <c r="M20" s="212">
        <f>IFERROR(H20-(F20*VLOOKUP(D20,Productos!$A$5:$I$59,6,FALSE)),0)</f>
        <v/>
      </c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93" t="n"/>
      <c r="B21" s="215" t="n"/>
      <c r="C21" s="194" t="n"/>
      <c r="D21" s="193" t="n"/>
      <c r="E21" s="216">
        <f>IFERROR(VLOOKUP(D21,Productos!$A$5:$I$59,3,FALSE),"")</f>
        <v/>
      </c>
      <c r="F21" s="193" t="n"/>
      <c r="G21" s="217">
        <f>IFERROR(VLOOKUP(D21,Productos!$A$5:$I$59,5,FALSE),0)</f>
        <v/>
      </c>
      <c r="H21" s="218">
        <f>IFERROR(F21*G21,0)</f>
        <v/>
      </c>
      <c r="I21" s="193" t="n"/>
      <c r="J21" s="219">
        <f>IF(B21="","",MONTH(B21))</f>
        <v/>
      </c>
      <c r="K21" s="219">
        <f>IF(B21="","",YEAR(B21))</f>
        <v/>
      </c>
      <c r="L21" s="194" t="n"/>
      <c r="M21" s="218">
        <f>IFERROR(H21-(F21*VLOOKUP(D21,Productos!$A$5:$I$59,6,FALSE)),0)</f>
        <v/>
      </c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90" t="n"/>
      <c r="B22" s="209" t="n"/>
      <c r="C22" s="191" t="n"/>
      <c r="D22" s="190" t="n"/>
      <c r="E22" s="210">
        <f>IFERROR(VLOOKUP(D22,Productos!$A$5:$I$59,3,FALSE),"")</f>
        <v/>
      </c>
      <c r="F22" s="190" t="n"/>
      <c r="G22" s="211">
        <f>IFERROR(VLOOKUP(D22,Productos!$A$5:$I$59,5,FALSE),0)</f>
        <v/>
      </c>
      <c r="H22" s="212">
        <f>IFERROR(F22*G22,0)</f>
        <v/>
      </c>
      <c r="I22" s="190" t="n"/>
      <c r="J22" s="213">
        <f>IF(B22="","",MONTH(B22))</f>
        <v/>
      </c>
      <c r="K22" s="213">
        <f>IF(B22="","",YEAR(B22))</f>
        <v/>
      </c>
      <c r="L22" s="191" t="n"/>
      <c r="M22" s="212">
        <f>IFERROR(H22-(F22*VLOOKUP(D22,Productos!$A$5:$I$59,6,FALSE)),0)</f>
        <v/>
      </c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93" t="n"/>
      <c r="B23" s="215" t="n"/>
      <c r="C23" s="194" t="n"/>
      <c r="D23" s="193" t="n"/>
      <c r="E23" s="216">
        <f>IFERROR(VLOOKUP(D23,Productos!$A$5:$I$59,3,FALSE),"")</f>
        <v/>
      </c>
      <c r="F23" s="193" t="n"/>
      <c r="G23" s="217">
        <f>IFERROR(VLOOKUP(D23,Productos!$A$5:$I$59,5,FALSE),0)</f>
        <v/>
      </c>
      <c r="H23" s="218">
        <f>IFERROR(F23*G23,0)</f>
        <v/>
      </c>
      <c r="I23" s="193" t="n"/>
      <c r="J23" s="219">
        <f>IF(B23="","",MONTH(B23))</f>
        <v/>
      </c>
      <c r="K23" s="219">
        <f>IF(B23="","",YEAR(B23))</f>
        <v/>
      </c>
      <c r="L23" s="194" t="n"/>
      <c r="M23" s="218">
        <f>IFERROR(H23-(F23*VLOOKUP(D23,Productos!$A$5:$I$59,6,FALSE)),0)</f>
        <v/>
      </c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90" t="n"/>
      <c r="B24" s="209" t="n"/>
      <c r="C24" s="191" t="n"/>
      <c r="D24" s="190" t="n"/>
      <c r="E24" s="210">
        <f>IFERROR(VLOOKUP(D24,Productos!$A$5:$I$59,3,FALSE),"")</f>
        <v/>
      </c>
      <c r="F24" s="190" t="n"/>
      <c r="G24" s="211">
        <f>IFERROR(VLOOKUP(D24,Productos!$A$5:$I$59,5,FALSE),0)</f>
        <v/>
      </c>
      <c r="H24" s="212">
        <f>IFERROR(F24*G24,0)</f>
        <v/>
      </c>
      <c r="I24" s="190" t="n"/>
      <c r="J24" s="213">
        <f>IF(B24="","",MONTH(B24))</f>
        <v/>
      </c>
      <c r="K24" s="213">
        <f>IF(B24="","",YEAR(B24))</f>
        <v/>
      </c>
      <c r="L24" s="191" t="n"/>
      <c r="M24" s="212">
        <f>IFERROR(H24-(F24*VLOOKUP(D24,Productos!$A$5:$I$59,6,FALSE)),0)</f>
        <v/>
      </c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93" t="n"/>
      <c r="B25" s="215" t="n"/>
      <c r="C25" s="194" t="n"/>
      <c r="D25" s="193" t="n"/>
      <c r="E25" s="216">
        <f>IFERROR(VLOOKUP(D25,Productos!$A$5:$I$59,3,FALSE),"")</f>
        <v/>
      </c>
      <c r="F25" s="193" t="n"/>
      <c r="G25" s="217">
        <f>IFERROR(VLOOKUP(D25,Productos!$A$5:$I$59,5,FALSE),0)</f>
        <v/>
      </c>
      <c r="H25" s="218">
        <f>IFERROR(F25*G25,0)</f>
        <v/>
      </c>
      <c r="I25" s="193" t="n"/>
      <c r="J25" s="219">
        <f>IF(B25="","",MONTH(B25))</f>
        <v/>
      </c>
      <c r="K25" s="219">
        <f>IF(B25="","",YEAR(B25))</f>
        <v/>
      </c>
      <c r="L25" s="194" t="n"/>
      <c r="M25" s="218">
        <f>IFERROR(H25-(F25*VLOOKUP(D25,Productos!$A$5:$I$59,6,FALSE)),0)</f>
        <v/>
      </c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90" t="n"/>
      <c r="B26" s="209" t="n"/>
      <c r="C26" s="191" t="n"/>
      <c r="D26" s="190" t="n"/>
      <c r="E26" s="210">
        <f>IFERROR(VLOOKUP(D26,Productos!$A$5:$I$59,3,FALSE),"")</f>
        <v/>
      </c>
      <c r="F26" s="190" t="n"/>
      <c r="G26" s="211">
        <f>IFERROR(VLOOKUP(D26,Productos!$A$5:$I$59,5,FALSE),0)</f>
        <v/>
      </c>
      <c r="H26" s="212">
        <f>IFERROR(F26*G26,0)</f>
        <v/>
      </c>
      <c r="I26" s="190" t="n"/>
      <c r="J26" s="213">
        <f>IF(B26="","",MONTH(B26))</f>
        <v/>
      </c>
      <c r="K26" s="213">
        <f>IF(B26="","",YEAR(B26))</f>
        <v/>
      </c>
      <c r="L26" s="191" t="n"/>
      <c r="M26" s="212">
        <f>IFERROR(H26-(F26*VLOOKUP(D26,Productos!$A$5:$I$59,6,FALSE)),0)</f>
        <v/>
      </c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93" t="n"/>
      <c r="B27" s="215" t="n"/>
      <c r="C27" s="194" t="n"/>
      <c r="D27" s="193" t="n"/>
      <c r="E27" s="216">
        <f>IFERROR(VLOOKUP(D27,Productos!$A$5:$I$59,3,FALSE),"")</f>
        <v/>
      </c>
      <c r="F27" s="193" t="n"/>
      <c r="G27" s="217">
        <f>IFERROR(VLOOKUP(D27,Productos!$A$5:$I$59,5,FALSE),0)</f>
        <v/>
      </c>
      <c r="H27" s="218">
        <f>IFERROR(F27*G27,0)</f>
        <v/>
      </c>
      <c r="I27" s="193" t="n"/>
      <c r="J27" s="219">
        <f>IF(B27="","",MONTH(B27))</f>
        <v/>
      </c>
      <c r="K27" s="219">
        <f>IF(B27="","",YEAR(B27))</f>
        <v/>
      </c>
      <c r="L27" s="194" t="n"/>
      <c r="M27" s="218">
        <f>IFERROR(H27-(F27*VLOOKUP(D27,Productos!$A$5:$I$59,6,FALSE)),0)</f>
        <v/>
      </c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90" t="n"/>
      <c r="B28" s="209" t="n"/>
      <c r="C28" s="191" t="n"/>
      <c r="D28" s="190" t="n"/>
      <c r="E28" s="210">
        <f>IFERROR(VLOOKUP(D28,Productos!$A$5:$I$59,3,FALSE),"")</f>
        <v/>
      </c>
      <c r="F28" s="190" t="n"/>
      <c r="G28" s="211">
        <f>IFERROR(VLOOKUP(D28,Productos!$A$5:$I$59,5,FALSE),0)</f>
        <v/>
      </c>
      <c r="H28" s="212">
        <f>IFERROR(F28*G28,0)</f>
        <v/>
      </c>
      <c r="I28" s="190" t="n"/>
      <c r="J28" s="213">
        <f>IF(B28="","",MONTH(B28))</f>
        <v/>
      </c>
      <c r="K28" s="213">
        <f>IF(B28="","",YEAR(B28))</f>
        <v/>
      </c>
      <c r="L28" s="191" t="n"/>
      <c r="M28" s="212">
        <f>IFERROR(H28-(F28*VLOOKUP(D28,Productos!$A$5:$I$59,6,FALSE)),0)</f>
        <v/>
      </c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93" t="n"/>
      <c r="B29" s="215" t="n"/>
      <c r="C29" s="194" t="n"/>
      <c r="D29" s="193" t="n"/>
      <c r="E29" s="216">
        <f>IFERROR(VLOOKUP(D29,Productos!$A$5:$I$59,3,FALSE),"")</f>
        <v/>
      </c>
      <c r="F29" s="193" t="n"/>
      <c r="G29" s="217">
        <f>IFERROR(VLOOKUP(D29,Productos!$A$5:$I$59,5,FALSE),0)</f>
        <v/>
      </c>
      <c r="H29" s="218">
        <f>IFERROR(F29*G29,0)</f>
        <v/>
      </c>
      <c r="I29" s="193" t="n"/>
      <c r="J29" s="219">
        <f>IF(B29="","",MONTH(B29))</f>
        <v/>
      </c>
      <c r="K29" s="219">
        <f>IF(B29="","",YEAR(B29))</f>
        <v/>
      </c>
      <c r="L29" s="194" t="n"/>
      <c r="M29" s="218">
        <f>IFERROR(H29-(F29*VLOOKUP(D29,Productos!$A$5:$I$59,6,FALSE)),0)</f>
        <v/>
      </c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90" t="n"/>
      <c r="B30" s="209" t="n"/>
      <c r="C30" s="191" t="n"/>
      <c r="D30" s="190" t="n"/>
      <c r="E30" s="210">
        <f>IFERROR(VLOOKUP(D30,Productos!$A$5:$I$59,3,FALSE),"")</f>
        <v/>
      </c>
      <c r="F30" s="190" t="n"/>
      <c r="G30" s="211">
        <f>IFERROR(VLOOKUP(D30,Productos!$A$5:$I$59,5,FALSE),0)</f>
        <v/>
      </c>
      <c r="H30" s="212">
        <f>IFERROR(F30*G30,0)</f>
        <v/>
      </c>
      <c r="I30" s="190" t="n"/>
      <c r="J30" s="213">
        <f>IF(B30="","",MONTH(B30))</f>
        <v/>
      </c>
      <c r="K30" s="213">
        <f>IF(B30="","",YEAR(B30))</f>
        <v/>
      </c>
      <c r="L30" s="191" t="n"/>
      <c r="M30" s="212">
        <f>IFERROR(H30-(F30*VLOOKUP(D30,Productos!$A$5:$I$59,6,FALSE)),0)</f>
        <v/>
      </c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93" t="n"/>
      <c r="B31" s="215" t="n"/>
      <c r="C31" s="194" t="n"/>
      <c r="D31" s="193" t="n"/>
      <c r="E31" s="216">
        <f>IFERROR(VLOOKUP(D31,Productos!$A$5:$I$59,3,FALSE),"")</f>
        <v/>
      </c>
      <c r="F31" s="193" t="n"/>
      <c r="G31" s="217">
        <f>IFERROR(VLOOKUP(D31,Productos!$A$5:$I$59,5,FALSE),0)</f>
        <v/>
      </c>
      <c r="H31" s="218">
        <f>IFERROR(F31*G31,0)</f>
        <v/>
      </c>
      <c r="I31" s="193" t="n"/>
      <c r="J31" s="219">
        <f>IF(B31="","",MONTH(B31))</f>
        <v/>
      </c>
      <c r="K31" s="219">
        <f>IF(B31="","",YEAR(B31))</f>
        <v/>
      </c>
      <c r="L31" s="194" t="n"/>
      <c r="M31" s="218">
        <f>IFERROR(H31-(F31*VLOOKUP(D31,Productos!$A$5:$I$59,6,FALSE)),0)</f>
        <v/>
      </c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90" t="n"/>
      <c r="B32" s="209" t="n"/>
      <c r="C32" s="191" t="n"/>
      <c r="D32" s="190" t="n"/>
      <c r="E32" s="210">
        <f>IFERROR(VLOOKUP(D32,Productos!$A$5:$I$59,3,FALSE),"")</f>
        <v/>
      </c>
      <c r="F32" s="190" t="n"/>
      <c r="G32" s="211">
        <f>IFERROR(VLOOKUP(D32,Productos!$A$5:$I$59,5,FALSE),0)</f>
        <v/>
      </c>
      <c r="H32" s="212">
        <f>IFERROR(F32*G32,0)</f>
        <v/>
      </c>
      <c r="I32" s="190" t="n"/>
      <c r="J32" s="213">
        <f>IF(B32="","",MONTH(B32))</f>
        <v/>
      </c>
      <c r="K32" s="213">
        <f>IF(B32="","",YEAR(B32))</f>
        <v/>
      </c>
      <c r="L32" s="191" t="n"/>
      <c r="M32" s="212">
        <f>IFERROR(H32-(F32*VLOOKUP(D32,Productos!$A$5:$I$59,6,FALSE)),0)</f>
        <v/>
      </c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93" t="n"/>
      <c r="B33" s="215" t="n"/>
      <c r="C33" s="194" t="n"/>
      <c r="D33" s="193" t="n"/>
      <c r="E33" s="216">
        <f>IFERROR(VLOOKUP(D33,Productos!$A$5:$I$59,3,FALSE),"")</f>
        <v/>
      </c>
      <c r="F33" s="193" t="n"/>
      <c r="G33" s="217">
        <f>IFERROR(VLOOKUP(D33,Productos!$A$5:$I$59,5,FALSE),0)</f>
        <v/>
      </c>
      <c r="H33" s="218">
        <f>IFERROR(F33*G33,0)</f>
        <v/>
      </c>
      <c r="I33" s="193" t="n"/>
      <c r="J33" s="219">
        <f>IF(B33="","",MONTH(B33))</f>
        <v/>
      </c>
      <c r="K33" s="219">
        <f>IF(B33="","",YEAR(B33))</f>
        <v/>
      </c>
      <c r="L33" s="194" t="n"/>
      <c r="M33" s="218">
        <f>IFERROR(H33-(F33*VLOOKUP(D33,Productos!$A$5:$I$59,6,FALSE)),0)</f>
        <v/>
      </c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90" t="n"/>
      <c r="B34" s="209" t="n"/>
      <c r="C34" s="191" t="n"/>
      <c r="D34" s="190" t="n"/>
      <c r="E34" s="210">
        <f>IFERROR(VLOOKUP(D34,Productos!$A$5:$I$59,3,FALSE),"")</f>
        <v/>
      </c>
      <c r="F34" s="190" t="n"/>
      <c r="G34" s="211">
        <f>IFERROR(VLOOKUP(D34,Productos!$A$5:$I$59,5,FALSE),0)</f>
        <v/>
      </c>
      <c r="H34" s="212">
        <f>IFERROR(F34*G34,0)</f>
        <v/>
      </c>
      <c r="I34" s="190" t="n"/>
      <c r="J34" s="213">
        <f>IF(B34="","",MONTH(B34))</f>
        <v/>
      </c>
      <c r="K34" s="213">
        <f>IF(B34="","",YEAR(B34))</f>
        <v/>
      </c>
      <c r="L34" s="191" t="n"/>
      <c r="M34" s="212">
        <f>IFERROR(H34-(F34*VLOOKUP(D34,Productos!$A$5:$I$59,6,FALSE)),0)</f>
        <v/>
      </c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93" t="n"/>
      <c r="B35" s="215" t="n"/>
      <c r="C35" s="194" t="n"/>
      <c r="D35" s="193" t="n"/>
      <c r="E35" s="216">
        <f>IFERROR(VLOOKUP(D35,Productos!$A$5:$I$59,3,FALSE),"")</f>
        <v/>
      </c>
      <c r="F35" s="193" t="n"/>
      <c r="G35" s="217">
        <f>IFERROR(VLOOKUP(D35,Productos!$A$5:$I$59,5,FALSE),0)</f>
        <v/>
      </c>
      <c r="H35" s="218">
        <f>IFERROR(F35*G35,0)</f>
        <v/>
      </c>
      <c r="I35" s="193" t="n"/>
      <c r="J35" s="219">
        <f>IF(B35="","",MONTH(B35))</f>
        <v/>
      </c>
      <c r="K35" s="219">
        <f>IF(B35="","",YEAR(B35))</f>
        <v/>
      </c>
      <c r="L35" s="194" t="n"/>
      <c r="M35" s="218">
        <f>IFERROR(H35-(F35*VLOOKUP(D35,Productos!$A$5:$I$59,6,FALSE)),0)</f>
        <v/>
      </c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90" t="n"/>
      <c r="B36" s="209" t="n"/>
      <c r="C36" s="191" t="n"/>
      <c r="D36" s="190" t="n"/>
      <c r="E36" s="210">
        <f>IFERROR(VLOOKUP(D36,Productos!$A$5:$I$59,3,FALSE),"")</f>
        <v/>
      </c>
      <c r="F36" s="190" t="n"/>
      <c r="G36" s="211">
        <f>IFERROR(VLOOKUP(D36,Productos!$A$5:$I$59,5,FALSE),0)</f>
        <v/>
      </c>
      <c r="H36" s="212">
        <f>IFERROR(F36*G36,0)</f>
        <v/>
      </c>
      <c r="I36" s="190" t="n"/>
      <c r="J36" s="213">
        <f>IF(B36="","",MONTH(B36))</f>
        <v/>
      </c>
      <c r="K36" s="213">
        <f>IF(B36="","",YEAR(B36))</f>
        <v/>
      </c>
      <c r="L36" s="191" t="n"/>
      <c r="M36" s="212">
        <f>IFERROR(H36-(F36*VLOOKUP(D36,Productos!$A$5:$I$59,6,FALSE)),0)</f>
        <v/>
      </c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93" t="n"/>
      <c r="B37" s="215" t="n"/>
      <c r="C37" s="194" t="n"/>
      <c r="D37" s="193" t="n"/>
      <c r="E37" s="216">
        <f>IFERROR(VLOOKUP(D37,Productos!$A$5:$I$59,3,FALSE),"")</f>
        <v/>
      </c>
      <c r="F37" s="193" t="n"/>
      <c r="G37" s="217">
        <f>IFERROR(VLOOKUP(D37,Productos!$A$5:$I$59,5,FALSE),0)</f>
        <v/>
      </c>
      <c r="H37" s="218">
        <f>IFERROR(F37*G37,0)</f>
        <v/>
      </c>
      <c r="I37" s="193" t="n"/>
      <c r="J37" s="219">
        <f>IF(B37="","",MONTH(B37))</f>
        <v/>
      </c>
      <c r="K37" s="219">
        <f>IF(B37="","",YEAR(B37))</f>
        <v/>
      </c>
      <c r="L37" s="194" t="n"/>
      <c r="M37" s="218">
        <f>IFERROR(H37-(F37*VLOOKUP(D37,Productos!$A$5:$I$59,6,FALSE)),0)</f>
        <v/>
      </c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90" t="n"/>
      <c r="B38" s="209" t="n"/>
      <c r="C38" s="191" t="n"/>
      <c r="D38" s="190" t="n"/>
      <c r="E38" s="210">
        <f>IFERROR(VLOOKUP(D38,Productos!$A$5:$I$59,3,FALSE),"")</f>
        <v/>
      </c>
      <c r="F38" s="190" t="n"/>
      <c r="G38" s="211">
        <f>IFERROR(VLOOKUP(D38,Productos!$A$5:$I$59,5,FALSE),0)</f>
        <v/>
      </c>
      <c r="H38" s="212">
        <f>IFERROR(F38*G38,0)</f>
        <v/>
      </c>
      <c r="I38" s="190" t="n"/>
      <c r="J38" s="213">
        <f>IF(B38="","",MONTH(B38))</f>
        <v/>
      </c>
      <c r="K38" s="213">
        <f>IF(B38="","",YEAR(B38))</f>
        <v/>
      </c>
      <c r="L38" s="191" t="n"/>
      <c r="M38" s="212">
        <f>IFERROR(H38-(F38*VLOOKUP(D38,Productos!$A$5:$I$59,6,FALSE)),0)</f>
        <v/>
      </c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93" t="n"/>
      <c r="B39" s="215" t="n"/>
      <c r="C39" s="194" t="n"/>
      <c r="D39" s="193" t="n"/>
      <c r="E39" s="216">
        <f>IFERROR(VLOOKUP(D39,Productos!$A$5:$I$59,3,FALSE),"")</f>
        <v/>
      </c>
      <c r="F39" s="193" t="n"/>
      <c r="G39" s="217">
        <f>IFERROR(VLOOKUP(D39,Productos!$A$5:$I$59,5,FALSE),0)</f>
        <v/>
      </c>
      <c r="H39" s="218">
        <f>IFERROR(F39*G39,0)</f>
        <v/>
      </c>
      <c r="I39" s="193" t="n"/>
      <c r="J39" s="219">
        <f>IF(B39="","",MONTH(B39))</f>
        <v/>
      </c>
      <c r="K39" s="219">
        <f>IF(B39="","",YEAR(B39))</f>
        <v/>
      </c>
      <c r="L39" s="194" t="n"/>
      <c r="M39" s="218">
        <f>IFERROR(H39-(F39*VLOOKUP(D39,Productos!$A$5:$I$59,6,FALSE)),0)</f>
        <v/>
      </c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90" t="n"/>
      <c r="B40" s="209" t="n"/>
      <c r="C40" s="191" t="n"/>
      <c r="D40" s="190" t="n"/>
      <c r="E40" s="210">
        <f>IFERROR(VLOOKUP(D40,Productos!$A$5:$I$59,3,FALSE),"")</f>
        <v/>
      </c>
      <c r="F40" s="190" t="n"/>
      <c r="G40" s="211">
        <f>IFERROR(VLOOKUP(D40,Productos!$A$5:$I$59,5,FALSE),0)</f>
        <v/>
      </c>
      <c r="H40" s="212">
        <f>IFERROR(F40*G40,0)</f>
        <v/>
      </c>
      <c r="I40" s="190" t="n"/>
      <c r="J40" s="213">
        <f>IF(B40="","",MONTH(B40))</f>
        <v/>
      </c>
      <c r="K40" s="213">
        <f>IF(B40="","",YEAR(B40))</f>
        <v/>
      </c>
      <c r="L40" s="191" t="n"/>
      <c r="M40" s="212">
        <f>IFERROR(H40-(F40*VLOOKUP(D40,Productos!$A$5:$I$59,6,FALSE)),0)</f>
        <v/>
      </c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93" t="n"/>
      <c r="B41" s="215" t="n"/>
      <c r="C41" s="194" t="n"/>
      <c r="D41" s="193" t="n"/>
      <c r="E41" s="216">
        <f>IFERROR(VLOOKUP(D41,Productos!$A$5:$I$59,3,FALSE),"")</f>
        <v/>
      </c>
      <c r="F41" s="193" t="n"/>
      <c r="G41" s="217">
        <f>IFERROR(VLOOKUP(D41,Productos!$A$5:$I$59,5,FALSE),0)</f>
        <v/>
      </c>
      <c r="H41" s="218">
        <f>IFERROR(F41*G41,0)</f>
        <v/>
      </c>
      <c r="I41" s="193" t="n"/>
      <c r="J41" s="219">
        <f>IF(B41="","",MONTH(B41))</f>
        <v/>
      </c>
      <c r="K41" s="219">
        <f>IF(B41="","",YEAR(B41))</f>
        <v/>
      </c>
      <c r="L41" s="194" t="n"/>
      <c r="M41" s="218">
        <f>IFERROR(H41-(F41*VLOOKUP(D41,Productos!$A$5:$I$59,6,FALSE)),0)</f>
        <v/>
      </c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90" t="n"/>
      <c r="B42" s="209" t="n"/>
      <c r="C42" s="191" t="n"/>
      <c r="D42" s="190" t="n"/>
      <c r="E42" s="210">
        <f>IFERROR(VLOOKUP(D42,Productos!$A$5:$I$59,3,FALSE),"")</f>
        <v/>
      </c>
      <c r="F42" s="190" t="n"/>
      <c r="G42" s="211">
        <f>IFERROR(VLOOKUP(D42,Productos!$A$5:$I$59,5,FALSE),0)</f>
        <v/>
      </c>
      <c r="H42" s="212">
        <f>IFERROR(F42*G42,0)</f>
        <v/>
      </c>
      <c r="I42" s="190" t="n"/>
      <c r="J42" s="213">
        <f>IF(B42="","",MONTH(B42))</f>
        <v/>
      </c>
      <c r="K42" s="213">
        <f>IF(B42="","",YEAR(B42))</f>
        <v/>
      </c>
      <c r="L42" s="191" t="n"/>
      <c r="M42" s="212">
        <f>IFERROR(H42-(F42*VLOOKUP(D42,Productos!$A$5:$I$59,6,FALSE)),0)</f>
        <v/>
      </c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93" t="n"/>
      <c r="B43" s="215" t="n"/>
      <c r="C43" s="194" t="n"/>
      <c r="D43" s="193" t="n"/>
      <c r="E43" s="216">
        <f>IFERROR(VLOOKUP(D43,Productos!$A$5:$I$59,3,FALSE),"")</f>
        <v/>
      </c>
      <c r="F43" s="193" t="n"/>
      <c r="G43" s="217">
        <f>IFERROR(VLOOKUP(D43,Productos!$A$5:$I$59,5,FALSE),0)</f>
        <v/>
      </c>
      <c r="H43" s="218">
        <f>IFERROR(F43*G43,0)</f>
        <v/>
      </c>
      <c r="I43" s="193" t="n"/>
      <c r="J43" s="219">
        <f>IF(B43="","",MONTH(B43))</f>
        <v/>
      </c>
      <c r="K43" s="219">
        <f>IF(B43="","",YEAR(B43))</f>
        <v/>
      </c>
      <c r="L43" s="194" t="n"/>
      <c r="M43" s="218">
        <f>IFERROR(H43-(F43*VLOOKUP(D43,Productos!$A$5:$I$59,6,FALSE)),0)</f>
        <v/>
      </c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90" t="n"/>
      <c r="B44" s="209" t="n"/>
      <c r="C44" s="191" t="n"/>
      <c r="D44" s="190" t="n"/>
      <c r="E44" s="210">
        <f>IFERROR(VLOOKUP(D44,Productos!$A$5:$I$59,3,FALSE),"")</f>
        <v/>
      </c>
      <c r="F44" s="190" t="n"/>
      <c r="G44" s="211">
        <f>IFERROR(VLOOKUP(D44,Productos!$A$5:$I$59,5,FALSE),0)</f>
        <v/>
      </c>
      <c r="H44" s="212">
        <f>IFERROR(F44*G44,0)</f>
        <v/>
      </c>
      <c r="I44" s="190" t="n"/>
      <c r="J44" s="213">
        <f>IF(B44="","",MONTH(B44))</f>
        <v/>
      </c>
      <c r="K44" s="213">
        <f>IF(B44="","",YEAR(B44))</f>
        <v/>
      </c>
      <c r="L44" s="191" t="n"/>
      <c r="M44" s="212">
        <f>IFERROR(H44-(F44*VLOOKUP(D44,Productos!$A$5:$I$59,6,FALSE)),0)</f>
        <v/>
      </c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93" t="n"/>
      <c r="B45" s="215" t="n"/>
      <c r="C45" s="194" t="n"/>
      <c r="D45" s="193" t="n"/>
      <c r="E45" s="216">
        <f>IFERROR(VLOOKUP(D45,Productos!$A$5:$I$59,3,FALSE),"")</f>
        <v/>
      </c>
      <c r="F45" s="193" t="n"/>
      <c r="G45" s="217">
        <f>IFERROR(VLOOKUP(D45,Productos!$A$5:$I$59,5,FALSE),0)</f>
        <v/>
      </c>
      <c r="H45" s="218">
        <f>IFERROR(F45*G45,0)</f>
        <v/>
      </c>
      <c r="I45" s="193" t="n"/>
      <c r="J45" s="219">
        <f>IF(B45="","",MONTH(B45))</f>
        <v/>
      </c>
      <c r="K45" s="219">
        <f>IF(B45="","",YEAR(B45))</f>
        <v/>
      </c>
      <c r="L45" s="194" t="n"/>
      <c r="M45" s="218">
        <f>IFERROR(H45-(F45*VLOOKUP(D45,Productos!$A$5:$I$59,6,FALSE)),0)</f>
        <v/>
      </c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90" t="n"/>
      <c r="B46" s="209" t="n"/>
      <c r="C46" s="191" t="n"/>
      <c r="D46" s="190" t="n"/>
      <c r="E46" s="210">
        <f>IFERROR(VLOOKUP(D46,Productos!$A$5:$I$59,3,FALSE),"")</f>
        <v/>
      </c>
      <c r="F46" s="190" t="n"/>
      <c r="G46" s="211">
        <f>IFERROR(VLOOKUP(D46,Productos!$A$5:$I$59,5,FALSE),0)</f>
        <v/>
      </c>
      <c r="H46" s="212">
        <f>IFERROR(F46*G46,0)</f>
        <v/>
      </c>
      <c r="I46" s="190" t="n"/>
      <c r="J46" s="213">
        <f>IF(B46="","",MONTH(B46))</f>
        <v/>
      </c>
      <c r="K46" s="213">
        <f>IF(B46="","",YEAR(B46))</f>
        <v/>
      </c>
      <c r="L46" s="191" t="n"/>
      <c r="M46" s="212">
        <f>IFERROR(H46-(F46*VLOOKUP(D46,Productos!$A$5:$I$59,6,FALSE)),0)</f>
        <v/>
      </c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93" t="n"/>
      <c r="B47" s="215" t="n"/>
      <c r="C47" s="194" t="n"/>
      <c r="D47" s="193" t="n"/>
      <c r="E47" s="216">
        <f>IFERROR(VLOOKUP(D47,Productos!$A$5:$I$59,3,FALSE),"")</f>
        <v/>
      </c>
      <c r="F47" s="193" t="n"/>
      <c r="G47" s="217">
        <f>IFERROR(VLOOKUP(D47,Productos!$A$5:$I$59,5,FALSE),0)</f>
        <v/>
      </c>
      <c r="H47" s="218">
        <f>IFERROR(F47*G47,0)</f>
        <v/>
      </c>
      <c r="I47" s="193" t="n"/>
      <c r="J47" s="219">
        <f>IF(B47="","",MONTH(B47))</f>
        <v/>
      </c>
      <c r="K47" s="219">
        <f>IF(B47="","",YEAR(B47))</f>
        <v/>
      </c>
      <c r="L47" s="194" t="n"/>
      <c r="M47" s="218">
        <f>IFERROR(H47-(F47*VLOOKUP(D47,Productos!$A$5:$I$59,6,FALSE)),0)</f>
        <v/>
      </c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90" t="n"/>
      <c r="B48" s="209" t="n"/>
      <c r="C48" s="191" t="n"/>
      <c r="D48" s="190" t="n"/>
      <c r="E48" s="210">
        <f>IFERROR(VLOOKUP(D48,Productos!$A$5:$I$59,3,FALSE),"")</f>
        <v/>
      </c>
      <c r="F48" s="190" t="n"/>
      <c r="G48" s="211">
        <f>IFERROR(VLOOKUP(D48,Productos!$A$5:$I$59,5,FALSE),0)</f>
        <v/>
      </c>
      <c r="H48" s="212">
        <f>IFERROR(F48*G48,0)</f>
        <v/>
      </c>
      <c r="I48" s="190" t="n"/>
      <c r="J48" s="213">
        <f>IF(B48="","",MONTH(B48))</f>
        <v/>
      </c>
      <c r="K48" s="213">
        <f>IF(B48="","",YEAR(B48))</f>
        <v/>
      </c>
      <c r="L48" s="191" t="n"/>
      <c r="M48" s="212">
        <f>IFERROR(H48-(F48*VLOOKUP(D48,Productos!$A$5:$I$59,6,FALSE)),0)</f>
        <v/>
      </c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93" t="n"/>
      <c r="B49" s="215" t="n"/>
      <c r="C49" s="194" t="n"/>
      <c r="D49" s="193" t="n"/>
      <c r="E49" s="216">
        <f>IFERROR(VLOOKUP(D49,Productos!$A$5:$I$59,3,FALSE),"")</f>
        <v/>
      </c>
      <c r="F49" s="193" t="n"/>
      <c r="G49" s="217">
        <f>IFERROR(VLOOKUP(D49,Productos!$A$5:$I$59,5,FALSE),0)</f>
        <v/>
      </c>
      <c r="H49" s="218">
        <f>IFERROR(F49*G49,0)</f>
        <v/>
      </c>
      <c r="I49" s="193" t="n"/>
      <c r="J49" s="219">
        <f>IF(B49="","",MONTH(B49))</f>
        <v/>
      </c>
      <c r="K49" s="219">
        <f>IF(B49="","",YEAR(B49))</f>
        <v/>
      </c>
      <c r="L49" s="194" t="n"/>
      <c r="M49" s="218">
        <f>IFERROR(H49-(F49*VLOOKUP(D49,Productos!$A$5:$I$59,6,FALSE)),0)</f>
        <v/>
      </c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90" t="n"/>
      <c r="B50" s="209" t="n"/>
      <c r="C50" s="191" t="n"/>
      <c r="D50" s="190" t="n"/>
      <c r="E50" s="210">
        <f>IFERROR(VLOOKUP(D50,Productos!$A$5:$I$59,3,FALSE),"")</f>
        <v/>
      </c>
      <c r="F50" s="190" t="n"/>
      <c r="G50" s="211">
        <f>IFERROR(VLOOKUP(D50,Productos!$A$5:$I$59,5,FALSE),0)</f>
        <v/>
      </c>
      <c r="H50" s="212">
        <f>IFERROR(F50*G50,0)</f>
        <v/>
      </c>
      <c r="I50" s="190" t="n"/>
      <c r="J50" s="213">
        <f>IF(B50="","",MONTH(B50))</f>
        <v/>
      </c>
      <c r="K50" s="213">
        <f>IF(B50="","",YEAR(B50))</f>
        <v/>
      </c>
      <c r="L50" s="191" t="n"/>
      <c r="M50" s="212">
        <f>IFERROR(H50-(F50*VLOOKUP(D50,Productos!$A$5:$I$59,6,FALSE)),0)</f>
        <v/>
      </c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93" t="n"/>
      <c r="B51" s="215" t="n"/>
      <c r="C51" s="194" t="n"/>
      <c r="D51" s="193" t="n"/>
      <c r="E51" s="216">
        <f>IFERROR(VLOOKUP(D51,Productos!$A$5:$I$59,3,FALSE),"")</f>
        <v/>
      </c>
      <c r="F51" s="193" t="n"/>
      <c r="G51" s="217">
        <f>IFERROR(VLOOKUP(D51,Productos!$A$5:$I$59,5,FALSE),0)</f>
        <v/>
      </c>
      <c r="H51" s="218">
        <f>IFERROR(F51*G51,0)</f>
        <v/>
      </c>
      <c r="I51" s="193" t="n"/>
      <c r="J51" s="219">
        <f>IF(B51="","",MONTH(B51))</f>
        <v/>
      </c>
      <c r="K51" s="219">
        <f>IF(B51="","",YEAR(B51))</f>
        <v/>
      </c>
      <c r="L51" s="194" t="n"/>
      <c r="M51" s="218">
        <f>IFERROR(H51-(F51*VLOOKUP(D51,Productos!$A$5:$I$59,6,FALSE)),0)</f>
        <v/>
      </c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90" t="n"/>
      <c r="B52" s="209" t="n"/>
      <c r="C52" s="191" t="n"/>
      <c r="D52" s="190" t="n"/>
      <c r="E52" s="210">
        <f>IFERROR(VLOOKUP(D52,Productos!$A$5:$I$59,3,FALSE),"")</f>
        <v/>
      </c>
      <c r="F52" s="190" t="n"/>
      <c r="G52" s="211">
        <f>IFERROR(VLOOKUP(D52,Productos!$A$5:$I$59,5,FALSE),0)</f>
        <v/>
      </c>
      <c r="H52" s="212">
        <f>IFERROR(F52*G52,0)</f>
        <v/>
      </c>
      <c r="I52" s="190" t="n"/>
      <c r="J52" s="213">
        <f>IF(B52="","",MONTH(B52))</f>
        <v/>
      </c>
      <c r="K52" s="213">
        <f>IF(B52="","",YEAR(B52))</f>
        <v/>
      </c>
      <c r="L52" s="191" t="n"/>
      <c r="M52" s="212">
        <f>IFERROR(H52-(F52*VLOOKUP(D52,Productos!$A$5:$I$59,6,FALSE)),0)</f>
        <v/>
      </c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93" t="n"/>
      <c r="B53" s="215" t="n"/>
      <c r="C53" s="194" t="n"/>
      <c r="D53" s="193" t="n"/>
      <c r="E53" s="216">
        <f>IFERROR(VLOOKUP(D53,Productos!$A$5:$I$59,3,FALSE),"")</f>
        <v/>
      </c>
      <c r="F53" s="193" t="n"/>
      <c r="G53" s="217">
        <f>IFERROR(VLOOKUP(D53,Productos!$A$5:$I$59,5,FALSE),0)</f>
        <v/>
      </c>
      <c r="H53" s="218">
        <f>IFERROR(F53*G53,0)</f>
        <v/>
      </c>
      <c r="I53" s="193" t="n"/>
      <c r="J53" s="219">
        <f>IF(B53="","",MONTH(B53))</f>
        <v/>
      </c>
      <c r="K53" s="219">
        <f>IF(B53="","",YEAR(B53))</f>
        <v/>
      </c>
      <c r="L53" s="194" t="n"/>
      <c r="M53" s="218">
        <f>IFERROR(H53-(F53*VLOOKUP(D53,Productos!$A$5:$I$59,6,FALSE)),0)</f>
        <v/>
      </c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90" t="n"/>
      <c r="B54" s="209" t="n"/>
      <c r="C54" s="191" t="n"/>
      <c r="D54" s="190" t="n"/>
      <c r="E54" s="210">
        <f>IFERROR(VLOOKUP(D54,Productos!$A$5:$I$59,3,FALSE),"")</f>
        <v/>
      </c>
      <c r="F54" s="190" t="n"/>
      <c r="G54" s="211">
        <f>IFERROR(VLOOKUP(D54,Productos!$A$5:$I$59,5,FALSE),0)</f>
        <v/>
      </c>
      <c r="H54" s="212">
        <f>IFERROR(F54*G54,0)</f>
        <v/>
      </c>
      <c r="I54" s="190" t="n"/>
      <c r="J54" s="213">
        <f>IF(B54="","",MONTH(B54))</f>
        <v/>
      </c>
      <c r="K54" s="213">
        <f>IF(B54="","",YEAR(B54))</f>
        <v/>
      </c>
      <c r="L54" s="191" t="n"/>
      <c r="M54" s="212">
        <f>IFERROR(H54-(F54*VLOOKUP(D54,Productos!$A$5:$I$59,6,FALSE)),0)</f>
        <v/>
      </c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93" t="n"/>
      <c r="B55" s="215" t="n"/>
      <c r="C55" s="194" t="n"/>
      <c r="D55" s="193" t="n"/>
      <c r="E55" s="216">
        <f>IFERROR(VLOOKUP(D55,Productos!$A$5:$I$59,3,FALSE),"")</f>
        <v/>
      </c>
      <c r="F55" s="193" t="n"/>
      <c r="G55" s="217">
        <f>IFERROR(VLOOKUP(D55,Productos!$A$5:$I$59,5,FALSE),0)</f>
        <v/>
      </c>
      <c r="H55" s="218">
        <f>IFERROR(F55*G55,0)</f>
        <v/>
      </c>
      <c r="I55" s="193" t="n"/>
      <c r="J55" s="219">
        <f>IF(B55="","",MONTH(B55))</f>
        <v/>
      </c>
      <c r="K55" s="219">
        <f>IF(B55="","",YEAR(B55))</f>
        <v/>
      </c>
      <c r="L55" s="194" t="n"/>
      <c r="M55" s="218">
        <f>IFERROR(H55-(F55*VLOOKUP(D55,Productos!$A$5:$I$59,6,FALSE)),0)</f>
        <v/>
      </c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90" t="n"/>
      <c r="B56" s="209" t="n"/>
      <c r="C56" s="191" t="n"/>
      <c r="D56" s="190" t="n"/>
      <c r="E56" s="210">
        <f>IFERROR(VLOOKUP(D56,Productos!$A$5:$I$59,3,FALSE),"")</f>
        <v/>
      </c>
      <c r="F56" s="190" t="n"/>
      <c r="G56" s="211">
        <f>IFERROR(VLOOKUP(D56,Productos!$A$5:$I$59,5,FALSE),0)</f>
        <v/>
      </c>
      <c r="H56" s="212">
        <f>IFERROR(F56*G56,0)</f>
        <v/>
      </c>
      <c r="I56" s="190" t="n"/>
      <c r="J56" s="213">
        <f>IF(B56="","",MONTH(B56))</f>
        <v/>
      </c>
      <c r="K56" s="213">
        <f>IF(B56="","",YEAR(B56))</f>
        <v/>
      </c>
      <c r="L56" s="191" t="n"/>
      <c r="M56" s="212">
        <f>IFERROR(H56-(F56*VLOOKUP(D56,Productos!$A$5:$I$59,6,FALSE)),0)</f>
        <v/>
      </c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93" t="n"/>
      <c r="B57" s="215" t="n"/>
      <c r="C57" s="194" t="n"/>
      <c r="D57" s="193" t="n"/>
      <c r="E57" s="216">
        <f>IFERROR(VLOOKUP(D57,Productos!$A$5:$I$59,3,FALSE),"")</f>
        <v/>
      </c>
      <c r="F57" s="193" t="n"/>
      <c r="G57" s="217">
        <f>IFERROR(VLOOKUP(D57,Productos!$A$5:$I$59,5,FALSE),0)</f>
        <v/>
      </c>
      <c r="H57" s="218">
        <f>IFERROR(F57*G57,0)</f>
        <v/>
      </c>
      <c r="I57" s="193" t="n"/>
      <c r="J57" s="219">
        <f>IF(B57="","",MONTH(B57))</f>
        <v/>
      </c>
      <c r="K57" s="219">
        <f>IF(B57="","",YEAR(B57))</f>
        <v/>
      </c>
      <c r="L57" s="194" t="n"/>
      <c r="M57" s="218">
        <f>IFERROR(H57-(F57*VLOOKUP(D57,Productos!$A$5:$I$59,6,FALSE)),0)</f>
        <v/>
      </c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90" t="n"/>
      <c r="B58" s="209" t="n"/>
      <c r="C58" s="191" t="n"/>
      <c r="D58" s="190" t="n"/>
      <c r="E58" s="210">
        <f>IFERROR(VLOOKUP(D58,Productos!$A$5:$I$59,3,FALSE),"")</f>
        <v/>
      </c>
      <c r="F58" s="190" t="n"/>
      <c r="G58" s="211">
        <f>IFERROR(VLOOKUP(D58,Productos!$A$5:$I$59,5,FALSE),0)</f>
        <v/>
      </c>
      <c r="H58" s="212">
        <f>IFERROR(F58*G58,0)</f>
        <v/>
      </c>
      <c r="I58" s="190" t="n"/>
      <c r="J58" s="213">
        <f>IF(B58="","",MONTH(B58))</f>
        <v/>
      </c>
      <c r="K58" s="213">
        <f>IF(B58="","",YEAR(B58))</f>
        <v/>
      </c>
      <c r="L58" s="191" t="n"/>
      <c r="M58" s="212">
        <f>IFERROR(H58-(F58*VLOOKUP(D58,Productos!$A$5:$I$59,6,FALSE)),0)</f>
        <v/>
      </c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93" t="n"/>
      <c r="B59" s="215" t="n"/>
      <c r="C59" s="194" t="n"/>
      <c r="D59" s="193" t="n"/>
      <c r="E59" s="216">
        <f>IFERROR(VLOOKUP(D59,Productos!$A$5:$I$59,3,FALSE),"")</f>
        <v/>
      </c>
      <c r="F59" s="193" t="n"/>
      <c r="G59" s="217">
        <f>IFERROR(VLOOKUP(D59,Productos!$A$5:$I$59,5,FALSE),0)</f>
        <v/>
      </c>
      <c r="H59" s="218">
        <f>IFERROR(F59*G59,0)</f>
        <v/>
      </c>
      <c r="I59" s="193" t="n"/>
      <c r="J59" s="219">
        <f>IF(B59="","",MONTH(B59))</f>
        <v/>
      </c>
      <c r="K59" s="219">
        <f>IF(B59="","",YEAR(B59))</f>
        <v/>
      </c>
      <c r="L59" s="194" t="n"/>
      <c r="M59" s="218">
        <f>IFERROR(H59-(F59*VLOOKUP(D59,Productos!$A$5:$I$59,6,FALSE)),0)</f>
        <v/>
      </c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90" t="n"/>
      <c r="B60" s="209" t="n"/>
      <c r="C60" s="191" t="n"/>
      <c r="D60" s="190" t="n"/>
      <c r="E60" s="210">
        <f>IFERROR(VLOOKUP(D60,Productos!$A$5:$I$59,3,FALSE),"")</f>
        <v/>
      </c>
      <c r="F60" s="190" t="n"/>
      <c r="G60" s="211">
        <f>IFERROR(VLOOKUP(D60,Productos!$A$5:$I$59,5,FALSE),0)</f>
        <v/>
      </c>
      <c r="H60" s="212">
        <f>IFERROR(F60*G60,0)</f>
        <v/>
      </c>
      <c r="I60" s="190" t="n"/>
      <c r="J60" s="213">
        <f>IF(B60="","",MONTH(B60))</f>
        <v/>
      </c>
      <c r="K60" s="213">
        <f>IF(B60="","",YEAR(B60))</f>
        <v/>
      </c>
      <c r="L60" s="191" t="n"/>
      <c r="M60" s="212">
        <f>IFERROR(H60-(F60*VLOOKUP(D60,Productos!$A$5:$I$59,6,FALSE)),0)</f>
        <v/>
      </c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93" t="n"/>
      <c r="B61" s="215" t="n"/>
      <c r="C61" s="194" t="n"/>
      <c r="D61" s="193" t="n"/>
      <c r="E61" s="216">
        <f>IFERROR(VLOOKUP(D61,Productos!$A$5:$I$59,3,FALSE),"")</f>
        <v/>
      </c>
      <c r="F61" s="193" t="n"/>
      <c r="G61" s="217">
        <f>IFERROR(VLOOKUP(D61,Productos!$A$5:$I$59,5,FALSE),0)</f>
        <v/>
      </c>
      <c r="H61" s="218">
        <f>IFERROR(F61*G61,0)</f>
        <v/>
      </c>
      <c r="I61" s="193" t="n"/>
      <c r="J61" s="219">
        <f>IF(B61="","",MONTH(B61))</f>
        <v/>
      </c>
      <c r="K61" s="219">
        <f>IF(B61="","",YEAR(B61))</f>
        <v/>
      </c>
      <c r="L61" s="194" t="n"/>
      <c r="M61" s="218">
        <f>IFERROR(H61-(F61*VLOOKUP(D61,Productos!$A$5:$I$59,6,FALSE)),0)</f>
        <v/>
      </c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90" t="n"/>
      <c r="B62" s="209" t="n"/>
      <c r="C62" s="191" t="n"/>
      <c r="D62" s="190" t="n"/>
      <c r="E62" s="210">
        <f>IFERROR(VLOOKUP(D62,Productos!$A$5:$I$59,3,FALSE),"")</f>
        <v/>
      </c>
      <c r="F62" s="190" t="n"/>
      <c r="G62" s="211">
        <f>IFERROR(VLOOKUP(D62,Productos!$A$5:$I$59,5,FALSE),0)</f>
        <v/>
      </c>
      <c r="H62" s="212">
        <f>IFERROR(F62*G62,0)</f>
        <v/>
      </c>
      <c r="I62" s="190" t="n"/>
      <c r="J62" s="213">
        <f>IF(B62="","",MONTH(B62))</f>
        <v/>
      </c>
      <c r="K62" s="213">
        <f>IF(B62="","",YEAR(B62))</f>
        <v/>
      </c>
      <c r="L62" s="191" t="n"/>
      <c r="M62" s="212">
        <f>IFERROR(H62-(F62*VLOOKUP(D62,Productos!$A$5:$I$59,6,FALSE)),0)</f>
        <v/>
      </c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93" t="n"/>
      <c r="B63" s="215" t="n"/>
      <c r="C63" s="194" t="n"/>
      <c r="D63" s="193" t="n"/>
      <c r="E63" s="216">
        <f>IFERROR(VLOOKUP(D63,Productos!$A$5:$I$59,3,FALSE),"")</f>
        <v/>
      </c>
      <c r="F63" s="193" t="n"/>
      <c r="G63" s="217">
        <f>IFERROR(VLOOKUP(D63,Productos!$A$5:$I$59,5,FALSE),0)</f>
        <v/>
      </c>
      <c r="H63" s="218">
        <f>IFERROR(F63*G63,0)</f>
        <v/>
      </c>
      <c r="I63" s="193" t="n"/>
      <c r="J63" s="219">
        <f>IF(B63="","",MONTH(B63))</f>
        <v/>
      </c>
      <c r="K63" s="219">
        <f>IF(B63="","",YEAR(B63))</f>
        <v/>
      </c>
      <c r="L63" s="194" t="n"/>
      <c r="M63" s="218">
        <f>IFERROR(H63-(F63*VLOOKUP(D63,Productos!$A$5:$I$59,6,FALSE)),0)</f>
        <v/>
      </c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90" t="n"/>
      <c r="B64" s="209" t="n"/>
      <c r="C64" s="191" t="n"/>
      <c r="D64" s="190" t="n"/>
      <c r="E64" s="210">
        <f>IFERROR(VLOOKUP(D64,Productos!$A$5:$I$59,3,FALSE),"")</f>
        <v/>
      </c>
      <c r="F64" s="190" t="n"/>
      <c r="G64" s="211">
        <f>IFERROR(VLOOKUP(D64,Productos!$A$5:$I$59,5,FALSE),0)</f>
        <v/>
      </c>
      <c r="H64" s="212">
        <f>IFERROR(F64*G64,0)</f>
        <v/>
      </c>
      <c r="I64" s="190" t="n"/>
      <c r="J64" s="213">
        <f>IF(B64="","",MONTH(B64))</f>
        <v/>
      </c>
      <c r="K64" s="213">
        <f>IF(B64="","",YEAR(B64))</f>
        <v/>
      </c>
      <c r="L64" s="191" t="n"/>
      <c r="M64" s="212">
        <f>IFERROR(H64-(F64*VLOOKUP(D64,Productos!$A$5:$I$59,6,FALSE)),0)</f>
        <v/>
      </c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93" t="n"/>
      <c r="B65" s="215" t="n"/>
      <c r="C65" s="194" t="n"/>
      <c r="D65" s="193" t="n"/>
      <c r="E65" s="216">
        <f>IFERROR(VLOOKUP(D65,Productos!$A$5:$I$59,3,FALSE),"")</f>
        <v/>
      </c>
      <c r="F65" s="193" t="n"/>
      <c r="G65" s="217">
        <f>IFERROR(VLOOKUP(D65,Productos!$A$5:$I$59,5,FALSE),0)</f>
        <v/>
      </c>
      <c r="H65" s="218">
        <f>IFERROR(F65*G65,0)</f>
        <v/>
      </c>
      <c r="I65" s="193" t="n"/>
      <c r="J65" s="219">
        <f>IF(B65="","",MONTH(B65))</f>
        <v/>
      </c>
      <c r="K65" s="219">
        <f>IF(B65="","",YEAR(B65))</f>
        <v/>
      </c>
      <c r="L65" s="194" t="n"/>
      <c r="M65" s="218">
        <f>IFERROR(H65-(F65*VLOOKUP(D65,Productos!$A$5:$I$59,6,FALSE)),0)</f>
        <v/>
      </c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90" t="n"/>
      <c r="B66" s="209" t="n"/>
      <c r="C66" s="191" t="n"/>
      <c r="D66" s="190" t="n"/>
      <c r="E66" s="210">
        <f>IFERROR(VLOOKUP(D66,Productos!$A$5:$I$59,3,FALSE),"")</f>
        <v/>
      </c>
      <c r="F66" s="190" t="n"/>
      <c r="G66" s="211">
        <f>IFERROR(VLOOKUP(D66,Productos!$A$5:$I$59,5,FALSE),0)</f>
        <v/>
      </c>
      <c r="H66" s="212">
        <f>IFERROR(F66*G66,0)</f>
        <v/>
      </c>
      <c r="I66" s="190" t="n"/>
      <c r="J66" s="213">
        <f>IF(B66="","",MONTH(B66))</f>
        <v/>
      </c>
      <c r="K66" s="213">
        <f>IF(B66="","",YEAR(B66))</f>
        <v/>
      </c>
      <c r="L66" s="191" t="n"/>
      <c r="M66" s="212">
        <f>IFERROR(H66-(F66*VLOOKUP(D66,Productos!$A$5:$I$59,6,FALSE)),0)</f>
        <v/>
      </c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93" t="n"/>
      <c r="B67" s="215" t="n"/>
      <c r="C67" s="194" t="n"/>
      <c r="D67" s="193" t="n"/>
      <c r="E67" s="216">
        <f>IFERROR(VLOOKUP(D67,Productos!$A$5:$I$59,3,FALSE),"")</f>
        <v/>
      </c>
      <c r="F67" s="193" t="n"/>
      <c r="G67" s="217">
        <f>IFERROR(VLOOKUP(D67,Productos!$A$5:$I$59,5,FALSE),0)</f>
        <v/>
      </c>
      <c r="H67" s="218">
        <f>IFERROR(F67*G67,0)</f>
        <v/>
      </c>
      <c r="I67" s="193" t="n"/>
      <c r="J67" s="219">
        <f>IF(B67="","",MONTH(B67))</f>
        <v/>
      </c>
      <c r="K67" s="219">
        <f>IF(B67="","",YEAR(B67))</f>
        <v/>
      </c>
      <c r="L67" s="194" t="n"/>
      <c r="M67" s="218">
        <f>IFERROR(H67-(F67*VLOOKUP(D67,Productos!$A$5:$I$59,6,FALSE)),0)</f>
        <v/>
      </c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90" t="n"/>
      <c r="B68" s="209" t="n"/>
      <c r="C68" s="191" t="n"/>
      <c r="D68" s="190" t="n"/>
      <c r="E68" s="210">
        <f>IFERROR(VLOOKUP(D68,Productos!$A$5:$I$59,3,FALSE),"")</f>
        <v/>
      </c>
      <c r="F68" s="190" t="n"/>
      <c r="G68" s="211">
        <f>IFERROR(VLOOKUP(D68,Productos!$A$5:$I$59,5,FALSE),0)</f>
        <v/>
      </c>
      <c r="H68" s="212">
        <f>IFERROR(F68*G68,0)</f>
        <v/>
      </c>
      <c r="I68" s="190" t="n"/>
      <c r="J68" s="213">
        <f>IF(B68="","",MONTH(B68))</f>
        <v/>
      </c>
      <c r="K68" s="213">
        <f>IF(B68="","",YEAR(B68))</f>
        <v/>
      </c>
      <c r="L68" s="191" t="n"/>
      <c r="M68" s="212">
        <f>IFERROR(H68-(F68*VLOOKUP(D68,Productos!$A$5:$I$59,6,FALSE)),0)</f>
        <v/>
      </c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93" t="n"/>
      <c r="B69" s="215" t="n"/>
      <c r="C69" s="194" t="n"/>
      <c r="D69" s="193" t="n"/>
      <c r="E69" s="216">
        <f>IFERROR(VLOOKUP(D69,Productos!$A$5:$I$59,3,FALSE),"")</f>
        <v/>
      </c>
      <c r="F69" s="193" t="n"/>
      <c r="G69" s="217">
        <f>IFERROR(VLOOKUP(D69,Productos!$A$5:$I$59,5,FALSE),0)</f>
        <v/>
      </c>
      <c r="H69" s="218">
        <f>IFERROR(F69*G69,0)</f>
        <v/>
      </c>
      <c r="I69" s="193" t="n"/>
      <c r="J69" s="219">
        <f>IF(B69="","",MONTH(B69))</f>
        <v/>
      </c>
      <c r="K69" s="219">
        <f>IF(B69="","",YEAR(B69))</f>
        <v/>
      </c>
      <c r="L69" s="194" t="n"/>
      <c r="M69" s="218">
        <f>IFERROR(H69-(F69*VLOOKUP(D69,Productos!$A$5:$I$59,6,FALSE)),0)</f>
        <v/>
      </c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90" t="n"/>
      <c r="B70" s="209" t="n"/>
      <c r="C70" s="191" t="n"/>
      <c r="D70" s="190" t="n"/>
      <c r="E70" s="210">
        <f>IFERROR(VLOOKUP(D70,Productos!$A$5:$I$59,3,FALSE),"")</f>
        <v/>
      </c>
      <c r="F70" s="190" t="n"/>
      <c r="G70" s="211">
        <f>IFERROR(VLOOKUP(D70,Productos!$A$5:$I$59,5,FALSE),0)</f>
        <v/>
      </c>
      <c r="H70" s="212">
        <f>IFERROR(F70*G70,0)</f>
        <v/>
      </c>
      <c r="I70" s="190" t="n"/>
      <c r="J70" s="213">
        <f>IF(B70="","",MONTH(B70))</f>
        <v/>
      </c>
      <c r="K70" s="213">
        <f>IF(B70="","",YEAR(B70))</f>
        <v/>
      </c>
      <c r="L70" s="191" t="n"/>
      <c r="M70" s="212">
        <f>IFERROR(H70-(F70*VLOOKUP(D70,Productos!$A$5:$I$59,6,FALSE)),0)</f>
        <v/>
      </c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93" t="n"/>
      <c r="B71" s="215" t="n"/>
      <c r="C71" s="194" t="n"/>
      <c r="D71" s="193" t="n"/>
      <c r="E71" s="216">
        <f>IFERROR(VLOOKUP(D71,Productos!$A$5:$I$59,3,FALSE),"")</f>
        <v/>
      </c>
      <c r="F71" s="193" t="n"/>
      <c r="G71" s="217">
        <f>IFERROR(VLOOKUP(D71,Productos!$A$5:$I$59,5,FALSE),0)</f>
        <v/>
      </c>
      <c r="H71" s="218">
        <f>IFERROR(F71*G71,0)</f>
        <v/>
      </c>
      <c r="I71" s="193" t="n"/>
      <c r="J71" s="219">
        <f>IF(B71="","",MONTH(B71))</f>
        <v/>
      </c>
      <c r="K71" s="219">
        <f>IF(B71="","",YEAR(B71))</f>
        <v/>
      </c>
      <c r="L71" s="194" t="n"/>
      <c r="M71" s="218">
        <f>IFERROR(H71-(F71*VLOOKUP(D71,Productos!$A$5:$I$59,6,FALSE)),0)</f>
        <v/>
      </c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90" t="n"/>
      <c r="B72" s="209" t="n"/>
      <c r="C72" s="191" t="n"/>
      <c r="D72" s="190" t="n"/>
      <c r="E72" s="210">
        <f>IFERROR(VLOOKUP(D72,Productos!$A$5:$I$59,3,FALSE),"")</f>
        <v/>
      </c>
      <c r="F72" s="190" t="n"/>
      <c r="G72" s="211">
        <f>IFERROR(VLOOKUP(D72,Productos!$A$5:$I$59,5,FALSE),0)</f>
        <v/>
      </c>
      <c r="H72" s="212">
        <f>IFERROR(F72*G72,0)</f>
        <v/>
      </c>
      <c r="I72" s="190" t="n"/>
      <c r="J72" s="213">
        <f>IF(B72="","",MONTH(B72))</f>
        <v/>
      </c>
      <c r="K72" s="213">
        <f>IF(B72="","",YEAR(B72))</f>
        <v/>
      </c>
      <c r="L72" s="191" t="n"/>
      <c r="M72" s="212">
        <f>IFERROR(H72-(F72*VLOOKUP(D72,Productos!$A$5:$I$59,6,FALSE)),0)</f>
        <v/>
      </c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93" t="n"/>
      <c r="B73" s="215" t="n"/>
      <c r="C73" s="194" t="n"/>
      <c r="D73" s="193" t="n"/>
      <c r="E73" s="216">
        <f>IFERROR(VLOOKUP(D73,Productos!$A$5:$I$59,3,FALSE),"")</f>
        <v/>
      </c>
      <c r="F73" s="193" t="n"/>
      <c r="G73" s="217">
        <f>IFERROR(VLOOKUP(D73,Productos!$A$5:$I$59,5,FALSE),0)</f>
        <v/>
      </c>
      <c r="H73" s="218">
        <f>IFERROR(F73*G73,0)</f>
        <v/>
      </c>
      <c r="I73" s="193" t="n"/>
      <c r="J73" s="219">
        <f>IF(B73="","",MONTH(B73))</f>
        <v/>
      </c>
      <c r="K73" s="219">
        <f>IF(B73="","",YEAR(B73))</f>
        <v/>
      </c>
      <c r="L73" s="194" t="n"/>
      <c r="M73" s="218">
        <f>IFERROR(H73-(F73*VLOOKUP(D73,Productos!$A$5:$I$59,6,FALSE)),0)</f>
        <v/>
      </c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90" t="n"/>
      <c r="B74" s="209" t="n"/>
      <c r="C74" s="191" t="n"/>
      <c r="D74" s="190" t="n"/>
      <c r="E74" s="210">
        <f>IFERROR(VLOOKUP(D74,Productos!$A$5:$I$59,3,FALSE),"")</f>
        <v/>
      </c>
      <c r="F74" s="190" t="n"/>
      <c r="G74" s="211">
        <f>IFERROR(VLOOKUP(D74,Productos!$A$5:$I$59,5,FALSE),0)</f>
        <v/>
      </c>
      <c r="H74" s="212">
        <f>IFERROR(F74*G74,0)</f>
        <v/>
      </c>
      <c r="I74" s="190" t="n"/>
      <c r="J74" s="213">
        <f>IF(B74="","",MONTH(B74))</f>
        <v/>
      </c>
      <c r="K74" s="213">
        <f>IF(B74="","",YEAR(B74))</f>
        <v/>
      </c>
      <c r="L74" s="191" t="n"/>
      <c r="M74" s="212">
        <f>IFERROR(H74-(F74*VLOOKUP(D74,Productos!$A$5:$I$59,6,FALSE)),0)</f>
        <v/>
      </c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93" t="n"/>
      <c r="B75" s="215" t="n"/>
      <c r="C75" s="194" t="n"/>
      <c r="D75" s="193" t="n"/>
      <c r="E75" s="216">
        <f>IFERROR(VLOOKUP(D75,Productos!$A$5:$I$59,3,FALSE),"")</f>
        <v/>
      </c>
      <c r="F75" s="193" t="n"/>
      <c r="G75" s="217">
        <f>IFERROR(VLOOKUP(D75,Productos!$A$5:$I$59,5,FALSE),0)</f>
        <v/>
      </c>
      <c r="H75" s="218">
        <f>IFERROR(F75*G75,0)</f>
        <v/>
      </c>
      <c r="I75" s="193" t="n"/>
      <c r="J75" s="219">
        <f>IF(B75="","",MONTH(B75))</f>
        <v/>
      </c>
      <c r="K75" s="219">
        <f>IF(B75="","",YEAR(B75))</f>
        <v/>
      </c>
      <c r="L75" s="194" t="n"/>
      <c r="M75" s="218">
        <f>IFERROR(H75-(F75*VLOOKUP(D75,Productos!$A$5:$I$59,6,FALSE)),0)</f>
        <v/>
      </c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90" t="n"/>
      <c r="B76" s="209" t="n"/>
      <c r="C76" s="191" t="n"/>
      <c r="D76" s="190" t="n"/>
      <c r="E76" s="210">
        <f>IFERROR(VLOOKUP(D76,Productos!$A$5:$I$59,3,FALSE),"")</f>
        <v/>
      </c>
      <c r="F76" s="190" t="n"/>
      <c r="G76" s="211">
        <f>IFERROR(VLOOKUP(D76,Productos!$A$5:$I$59,5,FALSE),0)</f>
        <v/>
      </c>
      <c r="H76" s="212">
        <f>IFERROR(F76*G76,0)</f>
        <v/>
      </c>
      <c r="I76" s="190" t="n"/>
      <c r="J76" s="213">
        <f>IF(B76="","",MONTH(B76))</f>
        <v/>
      </c>
      <c r="K76" s="213">
        <f>IF(B76="","",YEAR(B76))</f>
        <v/>
      </c>
      <c r="L76" s="191" t="n"/>
      <c r="M76" s="212">
        <f>IFERROR(H76-(F76*VLOOKUP(D76,Productos!$A$5:$I$59,6,FALSE)),0)</f>
        <v/>
      </c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93" t="n"/>
      <c r="B77" s="215" t="n"/>
      <c r="C77" s="194" t="n"/>
      <c r="D77" s="193" t="n"/>
      <c r="E77" s="216">
        <f>IFERROR(VLOOKUP(D77,Productos!$A$5:$I$59,3,FALSE),"")</f>
        <v/>
      </c>
      <c r="F77" s="193" t="n"/>
      <c r="G77" s="217">
        <f>IFERROR(VLOOKUP(D77,Productos!$A$5:$I$59,5,FALSE),0)</f>
        <v/>
      </c>
      <c r="H77" s="218">
        <f>IFERROR(F77*G77,0)</f>
        <v/>
      </c>
      <c r="I77" s="193" t="n"/>
      <c r="J77" s="219">
        <f>IF(B77="","",MONTH(B77))</f>
        <v/>
      </c>
      <c r="K77" s="219">
        <f>IF(B77="","",YEAR(B77))</f>
        <v/>
      </c>
      <c r="L77" s="194" t="n"/>
      <c r="M77" s="218">
        <f>IFERROR(H77-(F77*VLOOKUP(D77,Productos!$A$5:$I$59,6,FALSE)),0)</f>
        <v/>
      </c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90" t="n"/>
      <c r="B78" s="209" t="n"/>
      <c r="C78" s="191" t="n"/>
      <c r="D78" s="190" t="n"/>
      <c r="E78" s="210">
        <f>IFERROR(VLOOKUP(D78,Productos!$A$5:$I$59,3,FALSE),"")</f>
        <v/>
      </c>
      <c r="F78" s="190" t="n"/>
      <c r="G78" s="211">
        <f>IFERROR(VLOOKUP(D78,Productos!$A$5:$I$59,5,FALSE),0)</f>
        <v/>
      </c>
      <c r="H78" s="212">
        <f>IFERROR(F78*G78,0)</f>
        <v/>
      </c>
      <c r="I78" s="190" t="n"/>
      <c r="J78" s="213">
        <f>IF(B78="","",MONTH(B78))</f>
        <v/>
      </c>
      <c r="K78" s="213">
        <f>IF(B78="","",YEAR(B78))</f>
        <v/>
      </c>
      <c r="L78" s="191" t="n"/>
      <c r="M78" s="212">
        <f>IFERROR(H78-(F78*VLOOKUP(D78,Productos!$A$5:$I$59,6,FALSE)),0)</f>
        <v/>
      </c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93" t="n"/>
      <c r="B79" s="215" t="n"/>
      <c r="C79" s="194" t="n"/>
      <c r="D79" s="193" t="n"/>
      <c r="E79" s="216">
        <f>IFERROR(VLOOKUP(D79,Productos!$A$5:$I$59,3,FALSE),"")</f>
        <v/>
      </c>
      <c r="F79" s="193" t="n"/>
      <c r="G79" s="217">
        <f>IFERROR(VLOOKUP(D79,Productos!$A$5:$I$59,5,FALSE),0)</f>
        <v/>
      </c>
      <c r="H79" s="218">
        <f>IFERROR(F79*G79,0)</f>
        <v/>
      </c>
      <c r="I79" s="193" t="n"/>
      <c r="J79" s="219">
        <f>IF(B79="","",MONTH(B79))</f>
        <v/>
      </c>
      <c r="K79" s="219">
        <f>IF(B79="","",YEAR(B79))</f>
        <v/>
      </c>
      <c r="L79" s="194" t="n"/>
      <c r="M79" s="218">
        <f>IFERROR(H79-(F79*VLOOKUP(D79,Productos!$A$5:$I$59,6,FALSE)),0)</f>
        <v/>
      </c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90" t="n"/>
      <c r="B80" s="209" t="n"/>
      <c r="C80" s="191" t="n"/>
      <c r="D80" s="190" t="n"/>
      <c r="E80" s="210">
        <f>IFERROR(VLOOKUP(D80,Productos!$A$5:$I$59,3,FALSE),"")</f>
        <v/>
      </c>
      <c r="F80" s="190" t="n"/>
      <c r="G80" s="211">
        <f>IFERROR(VLOOKUP(D80,Productos!$A$5:$I$59,5,FALSE),0)</f>
        <v/>
      </c>
      <c r="H80" s="212">
        <f>IFERROR(F80*G80,0)</f>
        <v/>
      </c>
      <c r="I80" s="190" t="n"/>
      <c r="J80" s="213">
        <f>IF(B80="","",MONTH(B80))</f>
        <v/>
      </c>
      <c r="K80" s="213">
        <f>IF(B80="","",YEAR(B80))</f>
        <v/>
      </c>
      <c r="L80" s="191" t="n"/>
      <c r="M80" s="212">
        <f>IFERROR(H80-(F80*VLOOKUP(D80,Productos!$A$5:$I$59,6,FALSE)),0)</f>
        <v/>
      </c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93" t="n"/>
      <c r="B81" s="215" t="n"/>
      <c r="C81" s="194" t="n"/>
      <c r="D81" s="193" t="n"/>
      <c r="E81" s="216">
        <f>IFERROR(VLOOKUP(D81,Productos!$A$5:$I$59,3,FALSE),"")</f>
        <v/>
      </c>
      <c r="F81" s="193" t="n"/>
      <c r="G81" s="217">
        <f>IFERROR(VLOOKUP(D81,Productos!$A$5:$I$59,5,FALSE),0)</f>
        <v/>
      </c>
      <c r="H81" s="218">
        <f>IFERROR(F81*G81,0)</f>
        <v/>
      </c>
      <c r="I81" s="193" t="n"/>
      <c r="J81" s="219">
        <f>IF(B81="","",MONTH(B81))</f>
        <v/>
      </c>
      <c r="K81" s="219">
        <f>IF(B81="","",YEAR(B81))</f>
        <v/>
      </c>
      <c r="L81" s="194" t="n"/>
      <c r="M81" s="218">
        <f>IFERROR(H81-(F81*VLOOKUP(D81,Productos!$A$5:$I$59,6,FALSE)),0)</f>
        <v/>
      </c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90" t="n"/>
      <c r="B82" s="209" t="n"/>
      <c r="C82" s="191" t="n"/>
      <c r="D82" s="190" t="n"/>
      <c r="E82" s="210">
        <f>IFERROR(VLOOKUP(D82,Productos!$A$5:$I$59,3,FALSE),"")</f>
        <v/>
      </c>
      <c r="F82" s="190" t="n"/>
      <c r="G82" s="211">
        <f>IFERROR(VLOOKUP(D82,Productos!$A$5:$I$59,5,FALSE),0)</f>
        <v/>
      </c>
      <c r="H82" s="212">
        <f>IFERROR(F82*G82,0)</f>
        <v/>
      </c>
      <c r="I82" s="190" t="n"/>
      <c r="J82" s="213">
        <f>IF(B82="","",MONTH(B82))</f>
        <v/>
      </c>
      <c r="K82" s="213">
        <f>IF(B82="","",YEAR(B82))</f>
        <v/>
      </c>
      <c r="L82" s="191" t="n"/>
      <c r="M82" s="212">
        <f>IFERROR(H82-(F82*VLOOKUP(D82,Productos!$A$5:$I$59,6,FALSE)),0)</f>
        <v/>
      </c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93" t="n"/>
      <c r="B83" s="215" t="n"/>
      <c r="C83" s="194" t="n"/>
      <c r="D83" s="193" t="n"/>
      <c r="E83" s="216">
        <f>IFERROR(VLOOKUP(D83,Productos!$A$5:$I$59,3,FALSE),"")</f>
        <v/>
      </c>
      <c r="F83" s="193" t="n"/>
      <c r="G83" s="217">
        <f>IFERROR(VLOOKUP(D83,Productos!$A$5:$I$59,5,FALSE),0)</f>
        <v/>
      </c>
      <c r="H83" s="218">
        <f>IFERROR(F83*G83,0)</f>
        <v/>
      </c>
      <c r="I83" s="193" t="n"/>
      <c r="J83" s="219">
        <f>IF(B83="","",MONTH(B83))</f>
        <v/>
      </c>
      <c r="K83" s="219">
        <f>IF(B83="","",YEAR(B83))</f>
        <v/>
      </c>
      <c r="L83" s="194" t="n"/>
      <c r="M83" s="218">
        <f>IFERROR(H83-(F83*VLOOKUP(D83,Productos!$A$5:$I$59,6,FALSE)),0)</f>
        <v/>
      </c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90" t="n"/>
      <c r="B84" s="209" t="n"/>
      <c r="C84" s="191" t="n"/>
      <c r="D84" s="190" t="n"/>
      <c r="E84" s="210">
        <f>IFERROR(VLOOKUP(D84,Productos!$A$5:$I$59,3,FALSE),"")</f>
        <v/>
      </c>
      <c r="F84" s="190" t="n"/>
      <c r="G84" s="211">
        <f>IFERROR(VLOOKUP(D84,Productos!$A$5:$I$59,5,FALSE),0)</f>
        <v/>
      </c>
      <c r="H84" s="212">
        <f>IFERROR(F84*G84,0)</f>
        <v/>
      </c>
      <c r="I84" s="190" t="n"/>
      <c r="J84" s="213">
        <f>IF(B84="","",MONTH(B84))</f>
        <v/>
      </c>
      <c r="K84" s="213">
        <f>IF(B84="","",YEAR(B84))</f>
        <v/>
      </c>
      <c r="L84" s="191" t="n"/>
      <c r="M84" s="212">
        <f>IFERROR(H84-(F84*VLOOKUP(D84,Productos!$A$5:$I$59,6,FALSE)),0)</f>
        <v/>
      </c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93" t="n"/>
      <c r="B85" s="215" t="n"/>
      <c r="C85" s="194" t="n"/>
      <c r="D85" s="193" t="n"/>
      <c r="E85" s="216">
        <f>IFERROR(VLOOKUP(D85,Productos!$A$5:$I$59,3,FALSE),"")</f>
        <v/>
      </c>
      <c r="F85" s="193" t="n"/>
      <c r="G85" s="217">
        <f>IFERROR(VLOOKUP(D85,Productos!$A$5:$I$59,5,FALSE),0)</f>
        <v/>
      </c>
      <c r="H85" s="218">
        <f>IFERROR(F85*G85,0)</f>
        <v/>
      </c>
      <c r="I85" s="193" t="n"/>
      <c r="J85" s="219">
        <f>IF(B85="","",MONTH(B85))</f>
        <v/>
      </c>
      <c r="K85" s="219">
        <f>IF(B85="","",YEAR(B85))</f>
        <v/>
      </c>
      <c r="L85" s="194" t="n"/>
      <c r="M85" s="218">
        <f>IFERROR(H85-(F85*VLOOKUP(D85,Productos!$A$5:$I$59,6,FALSE)),0)</f>
        <v/>
      </c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90" t="n"/>
      <c r="B86" s="209" t="n"/>
      <c r="C86" s="191" t="n"/>
      <c r="D86" s="190" t="n"/>
      <c r="E86" s="210">
        <f>IFERROR(VLOOKUP(D86,Productos!$A$5:$I$59,3,FALSE),"")</f>
        <v/>
      </c>
      <c r="F86" s="190" t="n"/>
      <c r="G86" s="211">
        <f>IFERROR(VLOOKUP(D86,Productos!$A$5:$I$59,5,FALSE),0)</f>
        <v/>
      </c>
      <c r="H86" s="212">
        <f>IFERROR(F86*G86,0)</f>
        <v/>
      </c>
      <c r="I86" s="190" t="n"/>
      <c r="J86" s="213">
        <f>IF(B86="","",MONTH(B86))</f>
        <v/>
      </c>
      <c r="K86" s="213">
        <f>IF(B86="","",YEAR(B86))</f>
        <v/>
      </c>
      <c r="L86" s="191" t="n"/>
      <c r="M86" s="212">
        <f>IFERROR(H86-(F86*VLOOKUP(D86,Productos!$A$5:$I$59,6,FALSE)),0)</f>
        <v/>
      </c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93" t="n"/>
      <c r="B87" s="215" t="n"/>
      <c r="C87" s="194" t="n"/>
      <c r="D87" s="193" t="n"/>
      <c r="E87" s="216">
        <f>IFERROR(VLOOKUP(D87,Productos!$A$5:$I$59,3,FALSE),"")</f>
        <v/>
      </c>
      <c r="F87" s="193" t="n"/>
      <c r="G87" s="217">
        <f>IFERROR(VLOOKUP(D87,Productos!$A$5:$I$59,5,FALSE),0)</f>
        <v/>
      </c>
      <c r="H87" s="218">
        <f>IFERROR(F87*G87,0)</f>
        <v/>
      </c>
      <c r="I87" s="193" t="n"/>
      <c r="J87" s="219">
        <f>IF(B87="","",MONTH(B87))</f>
        <v/>
      </c>
      <c r="K87" s="219">
        <f>IF(B87="","",YEAR(B87))</f>
        <v/>
      </c>
      <c r="L87" s="194" t="n"/>
      <c r="M87" s="218">
        <f>IFERROR(H87-(F87*VLOOKUP(D87,Productos!$A$5:$I$59,6,FALSE)),0)</f>
        <v/>
      </c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90" t="n"/>
      <c r="B88" s="209" t="n"/>
      <c r="C88" s="191" t="n"/>
      <c r="D88" s="190" t="n"/>
      <c r="E88" s="210">
        <f>IFERROR(VLOOKUP(D88,Productos!$A$5:$I$59,3,FALSE),"")</f>
        <v/>
      </c>
      <c r="F88" s="190" t="n"/>
      <c r="G88" s="211">
        <f>IFERROR(VLOOKUP(D88,Productos!$A$5:$I$59,5,FALSE),0)</f>
        <v/>
      </c>
      <c r="H88" s="212">
        <f>IFERROR(F88*G88,0)</f>
        <v/>
      </c>
      <c r="I88" s="190" t="n"/>
      <c r="J88" s="213">
        <f>IF(B88="","",MONTH(B88))</f>
        <v/>
      </c>
      <c r="K88" s="213">
        <f>IF(B88="","",YEAR(B88))</f>
        <v/>
      </c>
      <c r="L88" s="191" t="n"/>
      <c r="M88" s="212">
        <f>IFERROR(H88-(F88*VLOOKUP(D88,Productos!$A$5:$I$59,6,FALSE)),0)</f>
        <v/>
      </c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93" t="n"/>
      <c r="B89" s="215" t="n"/>
      <c r="C89" s="194" t="n"/>
      <c r="D89" s="193" t="n"/>
      <c r="E89" s="216">
        <f>IFERROR(VLOOKUP(D89,Productos!$A$5:$I$59,3,FALSE),"")</f>
        <v/>
      </c>
      <c r="F89" s="193" t="n"/>
      <c r="G89" s="217">
        <f>IFERROR(VLOOKUP(D89,Productos!$A$5:$I$59,5,FALSE),0)</f>
        <v/>
      </c>
      <c r="H89" s="218">
        <f>IFERROR(F89*G89,0)</f>
        <v/>
      </c>
      <c r="I89" s="193" t="n"/>
      <c r="J89" s="219">
        <f>IF(B89="","",MONTH(B89))</f>
        <v/>
      </c>
      <c r="K89" s="219">
        <f>IF(B89="","",YEAR(B89))</f>
        <v/>
      </c>
      <c r="L89" s="194" t="n"/>
      <c r="M89" s="218">
        <f>IFERROR(H89-(F89*VLOOKUP(D89,Productos!$A$5:$I$59,6,FALSE)),0)</f>
        <v/>
      </c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96" t="n"/>
      <c r="B90" s="226" t="n"/>
      <c r="C90" s="196" t="n"/>
      <c r="D90" s="196" t="n"/>
      <c r="E90" s="196" t="n"/>
      <c r="F90" s="196" t="n"/>
      <c r="G90" s="196" t="n"/>
      <c r="H90" s="212" t="n"/>
      <c r="I90" s="196" t="n"/>
      <c r="J90" s="196" t="n"/>
      <c r="K90" s="196" t="n"/>
      <c r="L90" s="196" t="n"/>
      <c r="M90" s="21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95" t="n"/>
      <c r="B91" s="227" t="n"/>
      <c r="C91" s="195" t="n"/>
      <c r="D91" s="195" t="n"/>
      <c r="E91" s="195" t="n"/>
      <c r="F91" s="195" t="n"/>
      <c r="G91" s="195" t="n"/>
      <c r="H91" s="218" t="n"/>
      <c r="I91" s="195" t="n"/>
      <c r="J91" s="195" t="n"/>
      <c r="K91" s="195" t="n"/>
      <c r="L91" s="195" t="n"/>
      <c r="M91" s="218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96" t="n"/>
      <c r="B92" s="226" t="n"/>
      <c r="C92" s="196" t="n"/>
      <c r="D92" s="196" t="n"/>
      <c r="E92" s="196" t="n"/>
      <c r="F92" s="196" t="n"/>
      <c r="G92" s="196" t="n"/>
      <c r="H92" s="212" t="n"/>
      <c r="I92" s="196" t="n"/>
      <c r="J92" s="196" t="n"/>
      <c r="K92" s="196" t="n"/>
      <c r="L92" s="196" t="n"/>
      <c r="M92" s="21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95" t="n"/>
      <c r="B93" s="227" t="n"/>
      <c r="C93" s="195" t="n"/>
      <c r="D93" s="195" t="n"/>
      <c r="E93" s="195" t="n"/>
      <c r="F93" s="195" t="n"/>
      <c r="G93" s="195" t="n"/>
      <c r="H93" s="218" t="n"/>
      <c r="I93" s="195" t="n"/>
      <c r="J93" s="195" t="n"/>
      <c r="K93" s="195" t="n"/>
      <c r="L93" s="195" t="n"/>
      <c r="M93" s="218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96" t="n"/>
      <c r="B94" s="226" t="n"/>
      <c r="C94" s="196" t="n"/>
      <c r="D94" s="196" t="n"/>
      <c r="E94" s="196" t="n"/>
      <c r="F94" s="196" t="n"/>
      <c r="G94" s="196" t="n"/>
      <c r="H94" s="212" t="n"/>
      <c r="I94" s="196" t="n"/>
      <c r="J94" s="196" t="n"/>
      <c r="K94" s="196" t="n"/>
      <c r="L94" s="196" t="n"/>
      <c r="M94" s="21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95" t="n"/>
      <c r="B95" s="227" t="n"/>
      <c r="C95" s="195" t="n"/>
      <c r="D95" s="195" t="n"/>
      <c r="E95" s="195" t="n"/>
      <c r="F95" s="195" t="n"/>
      <c r="G95" s="195" t="n"/>
      <c r="H95" s="218" t="n"/>
      <c r="I95" s="195" t="n"/>
      <c r="J95" s="195" t="n"/>
      <c r="K95" s="195" t="n"/>
      <c r="L95" s="195" t="n"/>
      <c r="M95" s="218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96" t="n"/>
      <c r="B96" s="226" t="n"/>
      <c r="C96" s="196" t="n"/>
      <c r="D96" s="196" t="n"/>
      <c r="E96" s="196" t="n"/>
      <c r="F96" s="196" t="n"/>
      <c r="G96" s="196" t="n"/>
      <c r="H96" s="212" t="n"/>
      <c r="I96" s="196" t="n"/>
      <c r="J96" s="196" t="n"/>
      <c r="K96" s="196" t="n"/>
      <c r="L96" s="196" t="n"/>
      <c r="M96" s="21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95" t="n"/>
      <c r="B97" s="227" t="n"/>
      <c r="C97" s="195" t="n"/>
      <c r="D97" s="195" t="n"/>
      <c r="E97" s="195" t="n"/>
      <c r="F97" s="195" t="n"/>
      <c r="G97" s="195" t="n"/>
      <c r="H97" s="218" t="n"/>
      <c r="I97" s="195" t="n"/>
      <c r="J97" s="195" t="n"/>
      <c r="K97" s="195" t="n"/>
      <c r="L97" s="195" t="n"/>
      <c r="M97" s="218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96" t="n"/>
      <c r="B98" s="226" t="n"/>
      <c r="C98" s="196" t="n"/>
      <c r="D98" s="196" t="n"/>
      <c r="E98" s="196" t="n"/>
      <c r="F98" s="196" t="n"/>
      <c r="G98" s="196" t="n"/>
      <c r="H98" s="212" t="n"/>
      <c r="I98" s="196" t="n"/>
      <c r="J98" s="196" t="n"/>
      <c r="K98" s="196" t="n"/>
      <c r="L98" s="196" t="n"/>
      <c r="M98" s="21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95" t="n"/>
      <c r="B99" s="227" t="n"/>
      <c r="C99" s="195" t="n"/>
      <c r="D99" s="195" t="n"/>
      <c r="E99" s="195" t="n"/>
      <c r="F99" s="195" t="n"/>
      <c r="G99" s="195" t="n"/>
      <c r="H99" s="218" t="n"/>
      <c r="I99" s="195" t="n"/>
      <c r="J99" s="195" t="n"/>
      <c r="K99" s="195" t="n"/>
      <c r="L99" s="195" t="n"/>
      <c r="M99" s="218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6" t="n"/>
      <c r="B100" s="226" t="n"/>
      <c r="C100" s="196" t="n"/>
      <c r="D100" s="196" t="n"/>
      <c r="E100" s="196" t="n"/>
      <c r="F100" s="196" t="n"/>
      <c r="G100" s="196" t="n"/>
      <c r="H100" s="212" t="n"/>
      <c r="I100" s="196" t="n"/>
      <c r="J100" s="196" t="n"/>
      <c r="K100" s="196" t="n"/>
      <c r="L100" s="196" t="n"/>
      <c r="M100" s="21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5" t="n"/>
      <c r="B101" s="227" t="n"/>
      <c r="C101" s="195" t="n"/>
      <c r="D101" s="195" t="n"/>
      <c r="E101" s="195" t="n"/>
      <c r="F101" s="195" t="n"/>
      <c r="G101" s="195" t="n"/>
      <c r="H101" s="218" t="n"/>
      <c r="I101" s="195" t="n"/>
      <c r="J101" s="195" t="n"/>
      <c r="K101" s="195" t="n"/>
      <c r="L101" s="195" t="n"/>
      <c r="M101" s="218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6" t="n"/>
      <c r="B102" s="226" t="n"/>
      <c r="C102" s="196" t="n"/>
      <c r="D102" s="196" t="n"/>
      <c r="E102" s="196" t="n"/>
      <c r="F102" s="196" t="n"/>
      <c r="G102" s="196" t="n"/>
      <c r="H102" s="212" t="n"/>
      <c r="I102" s="196" t="n"/>
      <c r="J102" s="196" t="n"/>
      <c r="K102" s="196" t="n"/>
      <c r="L102" s="196" t="n"/>
      <c r="M102" s="21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5" t="n"/>
      <c r="B103" s="227" t="n"/>
      <c r="C103" s="195" t="n"/>
      <c r="D103" s="195" t="n"/>
      <c r="E103" s="195" t="n"/>
      <c r="F103" s="195" t="n"/>
      <c r="G103" s="195" t="n"/>
      <c r="H103" s="218" t="n"/>
      <c r="I103" s="195" t="n"/>
      <c r="J103" s="195" t="n"/>
      <c r="K103" s="195" t="n"/>
      <c r="L103" s="195" t="n"/>
      <c r="M103" s="218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6" t="n"/>
      <c r="B104" s="226" t="n"/>
      <c r="C104" s="196" t="n"/>
      <c r="D104" s="196" t="n"/>
      <c r="E104" s="196" t="n"/>
      <c r="F104" s="196" t="n"/>
      <c r="G104" s="196" t="n"/>
      <c r="H104" s="212" t="n"/>
      <c r="I104" s="196" t="n"/>
      <c r="J104" s="196" t="n"/>
      <c r="K104" s="196" t="n"/>
      <c r="L104" s="196" t="n"/>
      <c r="M104" s="21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5" t="n"/>
      <c r="B105" s="227" t="n"/>
      <c r="C105" s="195" t="n"/>
      <c r="D105" s="195" t="n"/>
      <c r="E105" s="195" t="n"/>
      <c r="F105" s="195" t="n"/>
      <c r="G105" s="195" t="n"/>
      <c r="H105" s="218" t="n"/>
      <c r="I105" s="195" t="n"/>
      <c r="J105" s="195" t="n"/>
      <c r="K105" s="195" t="n"/>
      <c r="L105" s="195" t="n"/>
      <c r="M105" s="218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6" t="n"/>
      <c r="B106" s="226" t="n"/>
      <c r="C106" s="196" t="n"/>
      <c r="D106" s="196" t="n"/>
      <c r="E106" s="196" t="n"/>
      <c r="F106" s="196" t="n"/>
      <c r="G106" s="196" t="n"/>
      <c r="H106" s="212" t="n"/>
      <c r="I106" s="196" t="n"/>
      <c r="J106" s="196" t="n"/>
      <c r="K106" s="196" t="n"/>
      <c r="L106" s="196" t="n"/>
      <c r="M106" s="21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5" t="n"/>
      <c r="B107" s="227" t="n"/>
      <c r="C107" s="195" t="n"/>
      <c r="D107" s="195" t="n"/>
      <c r="E107" s="195" t="n"/>
      <c r="F107" s="195" t="n"/>
      <c r="G107" s="195" t="n"/>
      <c r="H107" s="218" t="n"/>
      <c r="I107" s="195" t="n"/>
      <c r="J107" s="195" t="n"/>
      <c r="K107" s="195" t="n"/>
      <c r="L107" s="195" t="n"/>
      <c r="M107" s="218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10">
    <mergeCell ref="O7:P7"/>
    <mergeCell ref="Q7:R7"/>
    <mergeCell ref="O4:R4"/>
    <mergeCell ref="O5:P5"/>
    <mergeCell ref="Q5:R5"/>
    <mergeCell ref="Q6:R6"/>
    <mergeCell ref="O6:P6"/>
    <mergeCell ref="O8:P8"/>
    <mergeCell ref="Q8:R8"/>
    <mergeCell ref="A2:P2"/>
  </mergeCells>
  <conditionalFormatting sqref="I8:I107">
    <cfRule type="cellIs" priority="1" operator="equal" dxfId="2">
      <formula>"Cobrado"</formula>
    </cfRule>
    <cfRule type="cellIs" priority="2" operator="equal" dxfId="3">
      <formula>"Pendiente"</formula>
    </cfRule>
  </conditionalFormatting>
  <dataValidations count="1">
    <dataValidation sqref="I8:I89" showDropDown="0" showInputMessage="0" showErrorMessage="0" allowBlank="1" type="list">
      <formula1>"Pendiente,Cobrado,Parcial"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2F65CB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1" customWidth="1" style="22" min="1" max="1"/>
    <col width="18" customWidth="1" style="22" min="2" max="3"/>
    <col width="12" customWidth="1" style="22" min="4" max="4"/>
    <col width="14" customWidth="1" style="22" min="5" max="7"/>
    <col width="4" customWidth="1" style="22" min="8" max="8"/>
    <col width="14" customWidth="1" style="22" min="9" max="14"/>
  </cols>
  <sheetData>
    <row r="1" ht="6" customHeight="1" s="22">
      <c r="A1" s="132" t="inlineStr">
        <is>
          <t>Documento de venta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🧾  DOCUMENTO DE VENTA</t>
        </is>
      </c>
      <c r="Q2" s="135" t="inlineStr">
        <is>
          <t>Factura / Presupuesto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1" t="inlineStr">
        <is>
          <t>[Mi Empresa]</t>
        </is>
      </c>
      <c r="B4" s="1" t="n"/>
      <c r="C4" s="1" t="n"/>
      <c r="D4" s="40" t="inlineStr">
        <is>
          <t>PRESUPUESTO / FACTURA</t>
        </is>
      </c>
      <c r="H4" s="1" t="n"/>
      <c r="I4" s="31" t="inlineStr">
        <is>
          <t>FACTURAR</t>
        </is>
      </c>
      <c r="K4" s="32" t="inlineStr">
        <is>
          <t>REHACER</t>
        </is>
      </c>
      <c r="M4" s="25" t="inlineStr">
        <is>
          <t>IMPRIMIR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1" t="inlineStr">
        <is>
          <t>[Domicilio]</t>
        </is>
      </c>
      <c r="B5" s="1" t="n"/>
      <c r="C5" s="1" t="n"/>
      <c r="H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1" t="inlineStr">
        <is>
          <t>[ID Fiscal]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39" t="inlineStr">
        <is>
          <t>CLIENTE</t>
        </is>
      </c>
      <c r="D8" s="39" t="inlineStr">
        <is>
          <t>N° DOCUMENTO</t>
        </is>
      </c>
      <c r="F8" s="12" t="n">
        <v>1</v>
      </c>
      <c r="G8" s="1" t="n"/>
      <c r="H8" s="1" t="n"/>
      <c r="I8" s="41" t="inlineStr">
        <is>
          <t>Control</t>
        </is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6" t="n"/>
      <c r="B9" s="1" t="n"/>
      <c r="C9" s="1" t="n"/>
      <c r="D9" s="39" t="inlineStr">
        <is>
          <t>FECHA</t>
        </is>
      </c>
      <c r="F9" s="153">
        <f>TODAY()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6" t="n"/>
      <c r="B10" s="1" t="n"/>
      <c r="C10" s="1" t="n"/>
      <c r="D10" s="39" t="inlineStr">
        <is>
          <t>VENCIMIENTO</t>
        </is>
      </c>
      <c r="F10" s="153">
        <f>F9+30</f>
        <v/>
      </c>
      <c r="G10" s="1" t="n"/>
      <c r="H10" s="1" t="n"/>
      <c r="I10" s="39" t="inlineStr">
        <is>
          <t>Stock actual</t>
        </is>
      </c>
      <c r="J10" s="39" t="inlineStr">
        <is>
          <t>A vender</t>
        </is>
      </c>
      <c r="K10" s="39" t="inlineStr">
        <is>
          <t>Stock mínimo</t>
        </is>
      </c>
      <c r="L10" s="39" t="inlineStr">
        <is>
          <t>Advertencia</t>
        </is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6" t="n"/>
      <c r="B11" s="1" t="n"/>
      <c r="C11" s="1" t="n"/>
      <c r="D11" s="1" t="n"/>
      <c r="E11" s="1" t="n"/>
      <c r="F11" s="1" t="n"/>
      <c r="G11" s="1" t="n"/>
      <c r="H11" s="1" t="n"/>
      <c r="I11" s="12">
        <f>IFERROR(VLOOKUP(A15,Inventario!$A$8:$N$58,7,FALSE),0)</f>
        <v/>
      </c>
      <c r="J11" s="12">
        <f>IF(A15="","",C15)</f>
        <v/>
      </c>
      <c r="K11" s="12">
        <f>IFERROR(VLOOKUP(A15,Productos!$A$5:$I$59,7,FALSE),0)</f>
        <v/>
      </c>
      <c r="L11" s="154">
        <f>IF(A15="","",IF(J11&lt;=MAX(I11-K11,0),"Stock suficiente","Revisar stock"))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2">
        <f>IFERROR(VLOOKUP(A16,Inventario!$A$8:$N$58,7,FALSE),0)</f>
        <v/>
      </c>
      <c r="J12" s="12">
        <f>IF(A16="","",C16)</f>
        <v/>
      </c>
      <c r="K12" s="12">
        <f>IFERROR(VLOOKUP(A16,Productos!$A$5:$I$59,7,FALSE),0)</f>
        <v/>
      </c>
      <c r="L12" s="154">
        <f>IF(A16="","",IF(J12&lt;=MAX(I12-K12,0),"Stock suficiente","Revisar stock"))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2">
        <f>IFERROR(VLOOKUP(A17,Inventario!$A$8:$N$58,7,FALSE),0)</f>
        <v/>
      </c>
      <c r="J13" s="12">
        <f>IF(A17="","",C17)</f>
        <v/>
      </c>
      <c r="K13" s="12">
        <f>IFERROR(VLOOKUP(A17,Productos!$A$5:$I$59,7,FALSE),0)</f>
        <v/>
      </c>
      <c r="L13" s="154">
        <f>IF(A17="","",IF(J13&lt;=MAX(I13-K13,0),"Stock suficiente","Revisar stock"))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39" t="inlineStr">
        <is>
          <t>CÓDIGO</t>
        </is>
      </c>
      <c r="B14" s="39" t="inlineStr">
        <is>
          <t>ARTÍCULO</t>
        </is>
      </c>
      <c r="C14" s="39" t="inlineStr">
        <is>
          <t>CANTIDAD</t>
        </is>
      </c>
      <c r="D14" s="39" t="inlineStr">
        <is>
          <t>PRECIO UNIT.</t>
        </is>
      </c>
      <c r="E14" s="39" t="inlineStr">
        <is>
          <t>TOTAL</t>
        </is>
      </c>
      <c r="F14" s="1" t="n"/>
      <c r="G14" s="1" t="n"/>
      <c r="H14" s="1" t="n"/>
      <c r="I14" s="12">
        <f>IFERROR(VLOOKUP(A18,Inventario!$A$8:$N$58,7,FALSE),0)</f>
        <v/>
      </c>
      <c r="J14" s="12">
        <f>IF(A18="","",C18)</f>
        <v/>
      </c>
      <c r="K14" s="12">
        <f>IFERROR(VLOOKUP(A18,Productos!$A$5:$I$59,7,FALSE),0)</f>
        <v/>
      </c>
      <c r="L14" s="154">
        <f>IF(A18="","",IF(J14&lt;=MAX(I14-K14,0),"Stock suficiente","Revisar stock"))</f>
        <v/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5" t="n"/>
      <c r="B15" s="154">
        <f>IFERROR(VLOOKUP(A15,Productos!$A$5:$I$59,3,FALSE),"")</f>
        <v/>
      </c>
      <c r="C15" s="5" t="n"/>
      <c r="D15" s="45">
        <f>IFERROR(VLOOKUP(A15,Productos!$A$5:$I$59,5,FALSE),0)</f>
        <v/>
      </c>
      <c r="E15" s="45">
        <f>IFERROR(C15*D15,0)</f>
        <v/>
      </c>
      <c r="F15" s="1" t="n"/>
      <c r="G15" s="1" t="n"/>
      <c r="H15" s="1" t="n"/>
      <c r="I15" s="12">
        <f>IFERROR(VLOOKUP(A19,Inventario!$A$8:$N$58,7,FALSE),0)</f>
        <v/>
      </c>
      <c r="J15" s="12">
        <f>IF(A19="","",C19)</f>
        <v/>
      </c>
      <c r="K15" s="12">
        <f>IFERROR(VLOOKUP(A19,Productos!$A$5:$I$59,7,FALSE),0)</f>
        <v/>
      </c>
      <c r="L15" s="154">
        <f>IF(A19="","",IF(J15&lt;=MAX(I15-K15,0),"Stock suficiente","Revisar stock"))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5" t="n"/>
      <c r="B16" s="154">
        <f>IFERROR(VLOOKUP(A16,Productos!$A$5:$I$59,3,FALSE),"")</f>
        <v/>
      </c>
      <c r="C16" s="5" t="n"/>
      <c r="D16" s="45">
        <f>IFERROR(VLOOKUP(A16,Productos!$A$5:$I$59,5,FALSE),0)</f>
        <v/>
      </c>
      <c r="E16" s="45">
        <f>IFERROR(C16*D16,0)</f>
        <v/>
      </c>
      <c r="F16" s="1" t="n"/>
      <c r="G16" s="1" t="n"/>
      <c r="H16" s="1" t="n"/>
      <c r="I16" s="12">
        <f>IFERROR(VLOOKUP(A20,Inventario!$A$8:$N$58,7,FALSE),0)</f>
        <v/>
      </c>
      <c r="J16" s="12">
        <f>IF(A20="","",C20)</f>
        <v/>
      </c>
      <c r="K16" s="12">
        <f>IFERROR(VLOOKUP(A20,Productos!$A$5:$I$59,7,FALSE),0)</f>
        <v/>
      </c>
      <c r="L16" s="154">
        <f>IF(A20="","",IF(J16&lt;=MAX(I16-K16,0),"Stock suficiente","Revisar stock"))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5" t="n"/>
      <c r="B17" s="154">
        <f>IFERROR(VLOOKUP(A17,Productos!$A$5:$I$59,3,FALSE),"")</f>
        <v/>
      </c>
      <c r="C17" s="5" t="n"/>
      <c r="D17" s="45">
        <f>IFERROR(VLOOKUP(A17,Productos!$A$5:$I$59,5,FALSE),0)</f>
        <v/>
      </c>
      <c r="E17" s="45">
        <f>IFERROR(C17*D17,0)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5" t="n"/>
      <c r="B18" s="154">
        <f>IFERROR(VLOOKUP(A18,Productos!$A$5:$I$59,3,FALSE),"")</f>
        <v/>
      </c>
      <c r="C18" s="5" t="n"/>
      <c r="D18" s="45">
        <f>IFERROR(VLOOKUP(A18,Productos!$A$5:$I$59,5,FALSE),0)</f>
        <v/>
      </c>
      <c r="E18" s="45">
        <f>IFERROR(C18*D18,0)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5" t="n"/>
      <c r="B19" s="154">
        <f>IFERROR(VLOOKUP(A19,Productos!$A$5:$I$59,3,FALSE),"")</f>
        <v/>
      </c>
      <c r="C19" s="5" t="n"/>
      <c r="D19" s="45">
        <f>IFERROR(VLOOKUP(A19,Productos!$A$5:$I$59,5,FALSE),0)</f>
        <v/>
      </c>
      <c r="E19" s="45">
        <f>IFERROR(C19*D19,0)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5" t="n"/>
      <c r="B20" s="154">
        <f>IFERROR(VLOOKUP(A20,Productos!$A$5:$I$59,3,FALSE),"")</f>
        <v/>
      </c>
      <c r="C20" s="5" t="n"/>
      <c r="D20" s="45">
        <f>IFERROR(VLOOKUP(A20,Productos!$A$5:$I$59,5,FALSE),0)</f>
        <v/>
      </c>
      <c r="E20" s="45">
        <f>IFERROR(C20*D20,0)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5" t="n"/>
      <c r="B21" s="154">
        <f>IFERROR(VLOOKUP(A21,Productos!$A$5:$I$59,3,FALSE),"")</f>
        <v/>
      </c>
      <c r="C21" s="5" t="n"/>
      <c r="D21" s="45">
        <f>IFERROR(VLOOKUP(A21,Productos!$A$5:$I$59,5,FALSE),0)</f>
        <v/>
      </c>
      <c r="E21" s="45">
        <f>IFERROR(C21*D21,0)</f>
        <v/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5" t="n"/>
      <c r="B22" s="154">
        <f>IFERROR(VLOOKUP(A22,Productos!$A$5:$I$59,3,FALSE),"")</f>
        <v/>
      </c>
      <c r="C22" s="5" t="n"/>
      <c r="D22" s="45">
        <f>IFERROR(VLOOKUP(A22,Productos!$A$5:$I$59,5,FALSE),0)</f>
        <v/>
      </c>
      <c r="E22" s="45">
        <f>IFERROR(C22*D22,0)</f>
        <v/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5" t="n"/>
      <c r="B23" s="154">
        <f>IFERROR(VLOOKUP(A23,Productos!$A$5:$I$59,3,FALSE),"")</f>
        <v/>
      </c>
      <c r="C23" s="5" t="n"/>
      <c r="D23" s="45">
        <f>IFERROR(VLOOKUP(A23,Productos!$A$5:$I$59,5,FALSE),0)</f>
        <v/>
      </c>
      <c r="E23" s="45">
        <f>IFERROR(C23*D23,0)</f>
        <v/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5" t="n"/>
      <c r="B24" s="154">
        <f>IFERROR(VLOOKUP(A24,Productos!$A$5:$I$59,3,FALSE),"")</f>
        <v/>
      </c>
      <c r="C24" s="5" t="n"/>
      <c r="D24" s="45">
        <f>IFERROR(VLOOKUP(A24,Productos!$A$5:$I$59,5,FALSE),0)</f>
        <v/>
      </c>
      <c r="E24" s="45">
        <f>IFERROR(C24*D24,0)</f>
        <v/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5" t="n"/>
      <c r="B25" s="154">
        <f>IFERROR(VLOOKUP(A25,Productos!$A$5:$I$59,3,FALSE),"")</f>
        <v/>
      </c>
      <c r="C25" s="5" t="n"/>
      <c r="D25" s="45">
        <f>IFERROR(VLOOKUP(A25,Productos!$A$5:$I$59,5,FALSE),0)</f>
        <v/>
      </c>
      <c r="E25" s="45">
        <f>IFERROR(C25*D25,0)</f>
        <v/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5" t="n"/>
      <c r="B26" s="154">
        <f>IFERROR(VLOOKUP(A26,Productos!$A$5:$I$59,3,FALSE),"")</f>
        <v/>
      </c>
      <c r="C26" s="5" t="n"/>
      <c r="D26" s="45">
        <f>IFERROR(VLOOKUP(A26,Productos!$A$5:$I$59,5,FALSE),0)</f>
        <v/>
      </c>
      <c r="E26" s="45">
        <f>IFERROR(C26*D26,0)</f>
        <v/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39" t="inlineStr">
        <is>
          <t>SUBTOTAL</t>
        </is>
      </c>
      <c r="E29" s="45">
        <f>SUM(E15:E26)</f>
        <v/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39" t="inlineStr">
        <is>
          <t>IVA</t>
        </is>
      </c>
      <c r="E30" s="45">
        <f>E29*0.19</f>
        <v/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39" t="inlineStr">
        <is>
          <t>TOTAL</t>
        </is>
      </c>
      <c r="E31" s="45">
        <f>E29+E30</f>
        <v/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0B486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2"/>
    <col width="22" customWidth="1" style="22" min="3" max="3"/>
    <col width="12" customWidth="1" style="22" min="4" max="4"/>
    <col width="26" customWidth="1" style="22" min="5" max="5"/>
    <col width="12" customWidth="1" style="22" min="6" max="6"/>
    <col width="14" customWidth="1" style="22" min="7" max="7"/>
    <col width="16" customWidth="1" style="22" min="8" max="8"/>
    <col width="10" customWidth="1" style="22" min="9" max="10"/>
    <col width="18" customWidth="1" style="22" min="11" max="11"/>
    <col width="16" customWidth="1" style="22" min="12" max="12"/>
  </cols>
  <sheetData>
    <row r="1" ht="6" customHeight="1" s="22">
      <c r="A1" s="132" t="inlineStr">
        <is>
          <t>Registro de compras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🛒  REGISTRO DE COMPRAS</t>
        </is>
      </c>
      <c r="Q2" s="135" t="inlineStr">
        <is>
          <t>Módulo Proveedores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201">
        <f>SUMIFS(H8:H89,I8:I89,MONTH(TODAY()),J8:J89,YEAR(TODAY()))</f>
        <v/>
      </c>
      <c r="M3" s="55" t="n"/>
      <c r="N3" s="228" t="n"/>
      <c r="O3" s="228" t="n"/>
      <c r="P3" s="228" t="n"/>
      <c r="Q3" s="228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18" customHeight="1" s="22">
      <c r="A4" s="24" t="inlineStr">
        <is>
          <t>Registro de compras</t>
        </is>
      </c>
      <c r="G4" s="1" t="n"/>
      <c r="H4" s="1" t="n"/>
      <c r="I4" s="1" t="n"/>
      <c r="J4" s="1" t="n"/>
      <c r="K4" s="1" t="n"/>
      <c r="L4" s="1" t="n"/>
      <c r="M4" s="1" t="n"/>
      <c r="N4" s="203" t="inlineStr">
        <is>
          <t>RESUMEN DEL MES</t>
        </is>
      </c>
      <c r="O4" s="204" t="n"/>
      <c r="P4" s="204" t="n"/>
      <c r="Q4" s="205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6" customHeight="1" s="22">
      <c r="G5" s="1" t="n"/>
      <c r="H5" s="1" t="n"/>
      <c r="I5" s="1" t="n"/>
      <c r="J5" s="1" t="n"/>
      <c r="K5" s="1" t="n"/>
      <c r="L5" s="1" t="n"/>
      <c r="M5" s="1" t="n"/>
      <c r="N5" s="206" t="inlineStr">
        <is>
          <t>Compras del mes</t>
        </is>
      </c>
      <c r="P5" s="207">
        <f>SUMIFS(H8:H89,I8:I89,MONTH(TODAY()),J8:J89,YEAR(TODAY()))</f>
        <v/>
      </c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16" customHeight="1" s="2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206" t="inlineStr">
        <is>
          <t>N° órdenes</t>
        </is>
      </c>
      <c r="P6" s="208">
        <f>COUNTIF(A8:A89,"&lt;&gt;")</f>
        <v/>
      </c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6" customHeight="1" s="22">
      <c r="A7" s="8" t="inlineStr">
        <is>
          <t>N° OC</t>
        </is>
      </c>
      <c r="B7" s="8" t="inlineStr">
        <is>
          <t>FECHA</t>
        </is>
      </c>
      <c r="C7" s="8" t="inlineStr">
        <is>
          <t>PROVEEDOR</t>
        </is>
      </c>
      <c r="D7" s="8" t="inlineStr">
        <is>
          <t>CÓDIGO</t>
        </is>
      </c>
      <c r="E7" s="8" t="inlineStr">
        <is>
          <t>PRODUCTO</t>
        </is>
      </c>
      <c r="F7" s="8" t="inlineStr">
        <is>
          <t>CANTIDAD</t>
        </is>
      </c>
      <c r="G7" s="8" t="inlineStr">
        <is>
          <t>COSTO UNIT</t>
        </is>
      </c>
      <c r="H7" s="8" t="inlineStr">
        <is>
          <t>TOTAL</t>
        </is>
      </c>
      <c r="I7" s="8" t="inlineStr">
        <is>
          <t>MES</t>
        </is>
      </c>
      <c r="J7" s="8" t="inlineStr">
        <is>
          <t>AÑO</t>
        </is>
      </c>
      <c r="K7" s="8" t="inlineStr">
        <is>
          <t>ESTADO PAGO</t>
        </is>
      </c>
      <c r="L7" s="8" t="inlineStr">
        <is>
          <t>OBS.</t>
        </is>
      </c>
      <c r="M7" s="1" t="n"/>
      <c r="N7" s="206" t="inlineStr">
        <is>
          <t>Promedio OC</t>
        </is>
      </c>
      <c r="P7" s="207">
        <f>IFERROR(SUMIFS(H8:H89,I8:I89,MONTH(TODAY()),J8:J89,YEAR(TODAY()))/COUNTIFS(I8:I89,MONTH(TODAY()),J8:J89,YEAR(TODAY())),0)</f>
        <v/>
      </c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6" customHeight="1" s="22">
      <c r="A8" s="190" t="n">
        <v>1</v>
      </c>
      <c r="B8" s="209" t="n">
        <v>46114</v>
      </c>
      <c r="C8" s="191" t="inlineStr">
        <is>
          <t>Distribuidora Norte</t>
        </is>
      </c>
      <c r="D8" s="190" t="inlineStr">
        <is>
          <t>PR001</t>
        </is>
      </c>
      <c r="E8" s="210">
        <f>IFERROR(VLOOKUP(D8,Productos!$A$5:$I$59,3,FALSE),"")</f>
        <v/>
      </c>
      <c r="F8" s="190" t="n">
        <v>50</v>
      </c>
      <c r="G8" s="211">
        <f>IFERROR(VLOOKUP(D8,Productos!$A$5:$I$59,6,FALSE),0)</f>
        <v/>
      </c>
      <c r="H8" s="212">
        <f>IFERROR(F8*G8,0)</f>
        <v/>
      </c>
      <c r="I8" s="213">
        <f>IF(B8="","",MONTH(B8))</f>
        <v/>
      </c>
      <c r="J8" s="213">
        <f>IF(B8="","",YEAR(B8))</f>
        <v/>
      </c>
      <c r="K8" s="191" t="inlineStr">
        <is>
          <t>Pagado</t>
        </is>
      </c>
      <c r="L8" s="191" t="inlineStr">
        <is>
          <t>Demo</t>
        </is>
      </c>
      <c r="M8" s="192" t="n"/>
      <c r="N8" s="206" t="inlineStr">
        <is>
          <t>Pendiente pago</t>
        </is>
      </c>
      <c r="O8" s="214" t="n"/>
      <c r="P8" s="207">
        <f>SUMIFS(H8:H89,K8:K89,"Pendiente")</f>
        <v/>
      </c>
      <c r="Q8" s="214" t="n"/>
      <c r="R8" s="192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93" t="n">
        <v>2</v>
      </c>
      <c r="B9" s="215" t="n">
        <v>46116</v>
      </c>
      <c r="C9" s="194" t="inlineStr">
        <is>
          <t>Insumos del Sur</t>
        </is>
      </c>
      <c r="D9" s="193" t="inlineStr">
        <is>
          <t>PR002</t>
        </is>
      </c>
      <c r="E9" s="216">
        <f>IFERROR(VLOOKUP(D9,Productos!$A$5:$I$59,3,FALSE),"")</f>
        <v/>
      </c>
      <c r="F9" s="193" t="n">
        <v>80</v>
      </c>
      <c r="G9" s="217">
        <f>IFERROR(VLOOKUP(D9,Productos!$A$5:$I$59,6,FALSE),0)</f>
        <v/>
      </c>
      <c r="H9" s="218">
        <f>IFERROR(F9*G9,0)</f>
        <v/>
      </c>
      <c r="I9" s="219">
        <f>IF(B9="","",MONTH(B9))</f>
        <v/>
      </c>
      <c r="J9" s="219">
        <f>IF(B9="","",YEAR(B9))</f>
        <v/>
      </c>
      <c r="K9" s="194" t="inlineStr">
        <is>
          <t>Pagado</t>
        </is>
      </c>
      <c r="L9" s="194" t="inlineStr">
        <is>
          <t>Demo</t>
        </is>
      </c>
      <c r="M9" s="192" t="n"/>
      <c r="N9" s="220" t="n"/>
      <c r="O9" s="221" t="n"/>
      <c r="P9" s="222" t="n"/>
      <c r="Q9" s="221" t="n"/>
      <c r="R9" s="192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90" t="n">
        <v>3</v>
      </c>
      <c r="B10" s="209" t="n">
        <v>46119</v>
      </c>
      <c r="C10" s="191" t="inlineStr">
        <is>
          <t>Distribuidora Norte</t>
        </is>
      </c>
      <c r="D10" s="190" t="inlineStr">
        <is>
          <t>PR003</t>
        </is>
      </c>
      <c r="E10" s="210">
        <f>IFERROR(VLOOKUP(D10,Productos!$A$5:$I$59,3,FALSE),"")</f>
        <v/>
      </c>
      <c r="F10" s="190" t="n">
        <v>30</v>
      </c>
      <c r="G10" s="211">
        <f>IFERROR(VLOOKUP(D10,Productos!$A$5:$I$59,6,FALSE),0)</f>
        <v/>
      </c>
      <c r="H10" s="212">
        <f>IFERROR(F10*G10,0)</f>
        <v/>
      </c>
      <c r="I10" s="213">
        <f>IF(B10="","",MONTH(B10))</f>
        <v/>
      </c>
      <c r="J10" s="213">
        <f>IF(B10="","",YEAR(B10))</f>
        <v/>
      </c>
      <c r="K10" s="191" t="inlineStr">
        <is>
          <t>Pagado</t>
        </is>
      </c>
      <c r="L10" s="191" t="inlineStr">
        <is>
          <t>Demo</t>
        </is>
      </c>
      <c r="M10" s="192" t="n"/>
      <c r="N10" s="221" t="n"/>
      <c r="O10" s="221" t="n"/>
      <c r="P10" s="221" t="n"/>
      <c r="Q10" s="221" t="n"/>
      <c r="R10" s="192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93" t="n">
        <v>4</v>
      </c>
      <c r="B11" s="215" t="n">
        <v>46121</v>
      </c>
      <c r="C11" s="194" t="inlineStr">
        <is>
          <t>Insumos del Sur</t>
        </is>
      </c>
      <c r="D11" s="193" t="inlineStr">
        <is>
          <t>PR004</t>
        </is>
      </c>
      <c r="E11" s="216">
        <f>IFERROR(VLOOKUP(D11,Productos!$A$5:$I$59,3,FALSE),"")</f>
        <v/>
      </c>
      <c r="F11" s="193" t="n">
        <v>10</v>
      </c>
      <c r="G11" s="217">
        <f>IFERROR(VLOOKUP(D11,Productos!$A$5:$I$59,6,FALSE),0)</f>
        <v/>
      </c>
      <c r="H11" s="218">
        <f>IFERROR(F11*G11,0)</f>
        <v/>
      </c>
      <c r="I11" s="219">
        <f>IF(B11="","",MONTH(B11))</f>
        <v/>
      </c>
      <c r="J11" s="219">
        <f>IF(B11="","",YEAR(B11))</f>
        <v/>
      </c>
      <c r="K11" s="194" t="inlineStr">
        <is>
          <t>Pendiente</t>
        </is>
      </c>
      <c r="L11" s="194" t="inlineStr">
        <is>
          <t>Demo</t>
        </is>
      </c>
      <c r="M11" s="192" t="n"/>
      <c r="N11" s="220" t="n"/>
      <c r="O11" s="221" t="n"/>
      <c r="P11" s="223" t="n"/>
      <c r="Q11" s="221" t="n"/>
      <c r="R11" s="192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90" t="n">
        <v>5</v>
      </c>
      <c r="B12" s="209" t="n">
        <v>46125</v>
      </c>
      <c r="C12" s="191" t="inlineStr">
        <is>
          <t>Distribuidora Norte</t>
        </is>
      </c>
      <c r="D12" s="190" t="inlineStr">
        <is>
          <t>PR001</t>
        </is>
      </c>
      <c r="E12" s="210">
        <f>IFERROR(VLOOKUP(D12,Productos!$A$5:$I$59,3,FALSE),"")</f>
        <v/>
      </c>
      <c r="F12" s="190" t="n">
        <v>40</v>
      </c>
      <c r="G12" s="211">
        <f>IFERROR(VLOOKUP(D12,Productos!$A$5:$I$59,6,FALSE),0)</f>
        <v/>
      </c>
      <c r="H12" s="212">
        <f>IFERROR(F12*G12,0)</f>
        <v/>
      </c>
      <c r="I12" s="213">
        <f>IF(B12="","",MONTH(B12))</f>
        <v/>
      </c>
      <c r="J12" s="213">
        <f>IF(B12="","",YEAR(B12))</f>
        <v/>
      </c>
      <c r="K12" s="191" t="inlineStr">
        <is>
          <t>Pendiente</t>
        </is>
      </c>
      <c r="L12" s="191" t="inlineStr">
        <is>
          <t>Demo</t>
        </is>
      </c>
      <c r="M12" s="192" t="n"/>
      <c r="N12" s="221" t="n"/>
      <c r="O12" s="221" t="n"/>
      <c r="P12" s="221" t="n"/>
      <c r="Q12" s="221" t="n"/>
      <c r="R12" s="192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93" t="n"/>
      <c r="B13" s="215" t="n"/>
      <c r="C13" s="194" t="n"/>
      <c r="D13" s="193" t="n"/>
      <c r="E13" s="216">
        <f>IFERROR(VLOOKUP(D13,Productos!$A$5:$I$59,3,FALSE),"")</f>
        <v/>
      </c>
      <c r="F13" s="193" t="n"/>
      <c r="G13" s="217">
        <f>IFERROR(VLOOKUP(D13,Productos!$A$5:$I$59,6,FALSE),0)</f>
        <v/>
      </c>
      <c r="H13" s="218">
        <f>IFERROR(F13*G13,0)</f>
        <v/>
      </c>
      <c r="I13" s="219">
        <f>IF(B13="","",MONTH(B13))</f>
        <v/>
      </c>
      <c r="J13" s="219">
        <f>IF(B13="","",YEAR(B13))</f>
        <v/>
      </c>
      <c r="K13" s="194" t="n"/>
      <c r="L13" s="194" t="n"/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90" t="n"/>
      <c r="B14" s="209" t="n"/>
      <c r="C14" s="191" t="n"/>
      <c r="D14" s="190" t="n"/>
      <c r="E14" s="210">
        <f>IFERROR(VLOOKUP(D14,Productos!$A$5:$I$59,3,FALSE),"")</f>
        <v/>
      </c>
      <c r="F14" s="190" t="n"/>
      <c r="G14" s="211">
        <f>IFERROR(VLOOKUP(D14,Productos!$A$5:$I$59,6,FALSE),0)</f>
        <v/>
      </c>
      <c r="H14" s="212">
        <f>IFERROR(F14*G14,0)</f>
        <v/>
      </c>
      <c r="I14" s="213">
        <f>IF(B14="","",MONTH(B14))</f>
        <v/>
      </c>
      <c r="J14" s="213">
        <f>IF(B14="","",YEAR(B14))</f>
        <v/>
      </c>
      <c r="K14" s="191" t="n"/>
      <c r="L14" s="191" t="n"/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93" t="n"/>
      <c r="B15" s="215" t="n"/>
      <c r="C15" s="194" t="n"/>
      <c r="D15" s="193" t="n"/>
      <c r="E15" s="216">
        <f>IFERROR(VLOOKUP(D15,Productos!$A$5:$I$59,3,FALSE),"")</f>
        <v/>
      </c>
      <c r="F15" s="193" t="n"/>
      <c r="G15" s="217">
        <f>IFERROR(VLOOKUP(D15,Productos!$A$5:$I$59,6,FALSE),0)</f>
        <v/>
      </c>
      <c r="H15" s="218">
        <f>IFERROR(F15*G15,0)</f>
        <v/>
      </c>
      <c r="I15" s="219">
        <f>IF(B15="","",MONTH(B15))</f>
        <v/>
      </c>
      <c r="J15" s="219">
        <f>IF(B15="","",YEAR(B15))</f>
        <v/>
      </c>
      <c r="K15" s="194" t="n"/>
      <c r="L15" s="194" t="n"/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90" t="n"/>
      <c r="B16" s="209" t="n"/>
      <c r="C16" s="191" t="n"/>
      <c r="D16" s="190" t="n"/>
      <c r="E16" s="210">
        <f>IFERROR(VLOOKUP(D16,Productos!$A$5:$I$59,3,FALSE),"")</f>
        <v/>
      </c>
      <c r="F16" s="190" t="n"/>
      <c r="G16" s="211">
        <f>IFERROR(VLOOKUP(D16,Productos!$A$5:$I$59,6,FALSE),0)</f>
        <v/>
      </c>
      <c r="H16" s="212">
        <f>IFERROR(F16*G16,0)</f>
        <v/>
      </c>
      <c r="I16" s="213">
        <f>IF(B16="","",MONTH(B16))</f>
        <v/>
      </c>
      <c r="J16" s="213">
        <f>IF(B16="","",YEAR(B16))</f>
        <v/>
      </c>
      <c r="K16" s="191" t="n"/>
      <c r="L16" s="191" t="n"/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93" t="n"/>
      <c r="B17" s="215" t="n"/>
      <c r="C17" s="194" t="n"/>
      <c r="D17" s="193" t="n"/>
      <c r="E17" s="216">
        <f>IFERROR(VLOOKUP(D17,Productos!$A$5:$I$59,3,FALSE),"")</f>
        <v/>
      </c>
      <c r="F17" s="193" t="n"/>
      <c r="G17" s="217">
        <f>IFERROR(VLOOKUP(D17,Productos!$A$5:$I$59,6,FALSE),0)</f>
        <v/>
      </c>
      <c r="H17" s="218">
        <f>IFERROR(F17*G17,0)</f>
        <v/>
      </c>
      <c r="I17" s="219">
        <f>IF(B17="","",MONTH(B17))</f>
        <v/>
      </c>
      <c r="J17" s="219">
        <f>IF(B17="","",YEAR(B17))</f>
        <v/>
      </c>
      <c r="K17" s="194" t="n"/>
      <c r="L17" s="194" t="n"/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90" t="n"/>
      <c r="B18" s="209" t="n"/>
      <c r="C18" s="191" t="n"/>
      <c r="D18" s="190" t="n"/>
      <c r="E18" s="210">
        <f>IFERROR(VLOOKUP(D18,Productos!$A$5:$I$59,3,FALSE),"")</f>
        <v/>
      </c>
      <c r="F18" s="190" t="n"/>
      <c r="G18" s="211">
        <f>IFERROR(VLOOKUP(D18,Productos!$A$5:$I$59,6,FALSE),0)</f>
        <v/>
      </c>
      <c r="H18" s="212">
        <f>IFERROR(F18*G18,0)</f>
        <v/>
      </c>
      <c r="I18" s="213">
        <f>IF(B18="","",MONTH(B18))</f>
        <v/>
      </c>
      <c r="J18" s="213">
        <f>IF(B18="","",YEAR(B18))</f>
        <v/>
      </c>
      <c r="K18" s="191" t="n"/>
      <c r="L18" s="191" t="n"/>
      <c r="M18" s="192" t="n"/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93" t="n"/>
      <c r="B19" s="215" t="n"/>
      <c r="C19" s="194" t="n"/>
      <c r="D19" s="193" t="n"/>
      <c r="E19" s="216">
        <f>IFERROR(VLOOKUP(D19,Productos!$A$5:$I$59,3,FALSE),"")</f>
        <v/>
      </c>
      <c r="F19" s="193" t="n"/>
      <c r="G19" s="217">
        <f>IFERROR(VLOOKUP(D19,Productos!$A$5:$I$59,6,FALSE),0)</f>
        <v/>
      </c>
      <c r="H19" s="218">
        <f>IFERROR(F19*G19,0)</f>
        <v/>
      </c>
      <c r="I19" s="219">
        <f>IF(B19="","",MONTH(B19))</f>
        <v/>
      </c>
      <c r="J19" s="219">
        <f>IF(B19="","",YEAR(B19))</f>
        <v/>
      </c>
      <c r="K19" s="194" t="n"/>
      <c r="L19" s="194" t="n"/>
      <c r="M19" s="192" t="n"/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90" t="n"/>
      <c r="B20" s="209" t="n"/>
      <c r="C20" s="191" t="n"/>
      <c r="D20" s="190" t="n"/>
      <c r="E20" s="210">
        <f>IFERROR(VLOOKUP(D20,Productos!$A$5:$I$59,3,FALSE),"")</f>
        <v/>
      </c>
      <c r="F20" s="190" t="n"/>
      <c r="G20" s="211">
        <f>IFERROR(VLOOKUP(D20,Productos!$A$5:$I$59,6,FALSE),0)</f>
        <v/>
      </c>
      <c r="H20" s="212">
        <f>IFERROR(F20*G20,0)</f>
        <v/>
      </c>
      <c r="I20" s="213">
        <f>IF(B20="","",MONTH(B20))</f>
        <v/>
      </c>
      <c r="J20" s="213">
        <f>IF(B20="","",YEAR(B20))</f>
        <v/>
      </c>
      <c r="K20" s="191" t="n"/>
      <c r="L20" s="191" t="n"/>
      <c r="M20" s="192" t="n"/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93" t="n"/>
      <c r="B21" s="215" t="n"/>
      <c r="C21" s="194" t="n"/>
      <c r="D21" s="193" t="n"/>
      <c r="E21" s="216">
        <f>IFERROR(VLOOKUP(D21,Productos!$A$5:$I$59,3,FALSE),"")</f>
        <v/>
      </c>
      <c r="F21" s="193" t="n"/>
      <c r="G21" s="217">
        <f>IFERROR(VLOOKUP(D21,Productos!$A$5:$I$59,6,FALSE),0)</f>
        <v/>
      </c>
      <c r="H21" s="218">
        <f>IFERROR(F21*G21,0)</f>
        <v/>
      </c>
      <c r="I21" s="219">
        <f>IF(B21="","",MONTH(B21))</f>
        <v/>
      </c>
      <c r="J21" s="219">
        <f>IF(B21="","",YEAR(B21))</f>
        <v/>
      </c>
      <c r="K21" s="194" t="n"/>
      <c r="L21" s="194" t="n"/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90" t="n"/>
      <c r="B22" s="209" t="n"/>
      <c r="C22" s="191" t="n"/>
      <c r="D22" s="190" t="n"/>
      <c r="E22" s="210">
        <f>IFERROR(VLOOKUP(D22,Productos!$A$5:$I$59,3,FALSE),"")</f>
        <v/>
      </c>
      <c r="F22" s="190" t="n"/>
      <c r="G22" s="211">
        <f>IFERROR(VLOOKUP(D22,Productos!$A$5:$I$59,6,FALSE),0)</f>
        <v/>
      </c>
      <c r="H22" s="212">
        <f>IFERROR(F22*G22,0)</f>
        <v/>
      </c>
      <c r="I22" s="213">
        <f>IF(B22="","",MONTH(B22))</f>
        <v/>
      </c>
      <c r="J22" s="213">
        <f>IF(B22="","",YEAR(B22))</f>
        <v/>
      </c>
      <c r="K22" s="191" t="n"/>
      <c r="L22" s="191" t="n"/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93" t="n"/>
      <c r="B23" s="215" t="n"/>
      <c r="C23" s="194" t="n"/>
      <c r="D23" s="193" t="n"/>
      <c r="E23" s="216">
        <f>IFERROR(VLOOKUP(D23,Productos!$A$5:$I$59,3,FALSE),"")</f>
        <v/>
      </c>
      <c r="F23" s="193" t="n"/>
      <c r="G23" s="217">
        <f>IFERROR(VLOOKUP(D23,Productos!$A$5:$I$59,6,FALSE),0)</f>
        <v/>
      </c>
      <c r="H23" s="218">
        <f>IFERROR(F23*G23,0)</f>
        <v/>
      </c>
      <c r="I23" s="219">
        <f>IF(B23="","",MONTH(B23))</f>
        <v/>
      </c>
      <c r="J23" s="219">
        <f>IF(B23="","",YEAR(B23))</f>
        <v/>
      </c>
      <c r="K23" s="194" t="n"/>
      <c r="L23" s="194" t="n"/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90" t="n"/>
      <c r="B24" s="209" t="n"/>
      <c r="C24" s="191" t="n"/>
      <c r="D24" s="190" t="n"/>
      <c r="E24" s="210">
        <f>IFERROR(VLOOKUP(D24,Productos!$A$5:$I$59,3,FALSE),"")</f>
        <v/>
      </c>
      <c r="F24" s="190" t="n"/>
      <c r="G24" s="211">
        <f>IFERROR(VLOOKUP(D24,Productos!$A$5:$I$59,6,FALSE),0)</f>
        <v/>
      </c>
      <c r="H24" s="212">
        <f>IFERROR(F24*G24,0)</f>
        <v/>
      </c>
      <c r="I24" s="213">
        <f>IF(B24="","",MONTH(B24))</f>
        <v/>
      </c>
      <c r="J24" s="213">
        <f>IF(B24="","",YEAR(B24))</f>
        <v/>
      </c>
      <c r="K24" s="191" t="n"/>
      <c r="L24" s="191" t="n"/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93" t="n"/>
      <c r="B25" s="215" t="n"/>
      <c r="C25" s="194" t="n"/>
      <c r="D25" s="193" t="n"/>
      <c r="E25" s="216">
        <f>IFERROR(VLOOKUP(D25,Productos!$A$5:$I$59,3,FALSE),"")</f>
        <v/>
      </c>
      <c r="F25" s="193" t="n"/>
      <c r="G25" s="217">
        <f>IFERROR(VLOOKUP(D25,Productos!$A$5:$I$59,6,FALSE),0)</f>
        <v/>
      </c>
      <c r="H25" s="218">
        <f>IFERROR(F25*G25,0)</f>
        <v/>
      </c>
      <c r="I25" s="219">
        <f>IF(B25="","",MONTH(B25))</f>
        <v/>
      </c>
      <c r="J25" s="219">
        <f>IF(B25="","",YEAR(B25))</f>
        <v/>
      </c>
      <c r="K25" s="194" t="n"/>
      <c r="L25" s="194" t="n"/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90" t="n"/>
      <c r="B26" s="209" t="n"/>
      <c r="C26" s="191" t="n"/>
      <c r="D26" s="190" t="n"/>
      <c r="E26" s="210">
        <f>IFERROR(VLOOKUP(D26,Productos!$A$5:$I$59,3,FALSE),"")</f>
        <v/>
      </c>
      <c r="F26" s="190" t="n"/>
      <c r="G26" s="211">
        <f>IFERROR(VLOOKUP(D26,Productos!$A$5:$I$59,6,FALSE),0)</f>
        <v/>
      </c>
      <c r="H26" s="212">
        <f>IFERROR(F26*G26,0)</f>
        <v/>
      </c>
      <c r="I26" s="213">
        <f>IF(B26="","",MONTH(B26))</f>
        <v/>
      </c>
      <c r="J26" s="213">
        <f>IF(B26="","",YEAR(B26))</f>
        <v/>
      </c>
      <c r="K26" s="191" t="n"/>
      <c r="L26" s="191" t="n"/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93" t="n"/>
      <c r="B27" s="215" t="n"/>
      <c r="C27" s="194" t="n"/>
      <c r="D27" s="193" t="n"/>
      <c r="E27" s="216">
        <f>IFERROR(VLOOKUP(D27,Productos!$A$5:$I$59,3,FALSE),"")</f>
        <v/>
      </c>
      <c r="F27" s="193" t="n"/>
      <c r="G27" s="217">
        <f>IFERROR(VLOOKUP(D27,Productos!$A$5:$I$59,6,FALSE),0)</f>
        <v/>
      </c>
      <c r="H27" s="218">
        <f>IFERROR(F27*G27,0)</f>
        <v/>
      </c>
      <c r="I27" s="219">
        <f>IF(B27="","",MONTH(B27))</f>
        <v/>
      </c>
      <c r="J27" s="219">
        <f>IF(B27="","",YEAR(B27))</f>
        <v/>
      </c>
      <c r="K27" s="194" t="n"/>
      <c r="L27" s="194" t="n"/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90" t="n"/>
      <c r="B28" s="209" t="n"/>
      <c r="C28" s="191" t="n"/>
      <c r="D28" s="190" t="n"/>
      <c r="E28" s="210">
        <f>IFERROR(VLOOKUP(D28,Productos!$A$5:$I$59,3,FALSE),"")</f>
        <v/>
      </c>
      <c r="F28" s="190" t="n"/>
      <c r="G28" s="211">
        <f>IFERROR(VLOOKUP(D28,Productos!$A$5:$I$59,6,FALSE),0)</f>
        <v/>
      </c>
      <c r="H28" s="212">
        <f>IFERROR(F28*G28,0)</f>
        <v/>
      </c>
      <c r="I28" s="213">
        <f>IF(B28="","",MONTH(B28))</f>
        <v/>
      </c>
      <c r="J28" s="213">
        <f>IF(B28="","",YEAR(B28))</f>
        <v/>
      </c>
      <c r="K28" s="191" t="n"/>
      <c r="L28" s="191" t="n"/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93" t="n"/>
      <c r="B29" s="215" t="n"/>
      <c r="C29" s="194" t="n"/>
      <c r="D29" s="193" t="n"/>
      <c r="E29" s="216">
        <f>IFERROR(VLOOKUP(D29,Productos!$A$5:$I$59,3,FALSE),"")</f>
        <v/>
      </c>
      <c r="F29" s="193" t="n"/>
      <c r="G29" s="217">
        <f>IFERROR(VLOOKUP(D29,Productos!$A$5:$I$59,6,FALSE),0)</f>
        <v/>
      </c>
      <c r="H29" s="218">
        <f>IFERROR(F29*G29,0)</f>
        <v/>
      </c>
      <c r="I29" s="219">
        <f>IF(B29="","",MONTH(B29))</f>
        <v/>
      </c>
      <c r="J29" s="219">
        <f>IF(B29="","",YEAR(B29))</f>
        <v/>
      </c>
      <c r="K29" s="194" t="n"/>
      <c r="L29" s="194" t="n"/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90" t="n"/>
      <c r="B30" s="209" t="n"/>
      <c r="C30" s="191" t="n"/>
      <c r="D30" s="190" t="n"/>
      <c r="E30" s="210">
        <f>IFERROR(VLOOKUP(D30,Productos!$A$5:$I$59,3,FALSE),"")</f>
        <v/>
      </c>
      <c r="F30" s="190" t="n"/>
      <c r="G30" s="211">
        <f>IFERROR(VLOOKUP(D30,Productos!$A$5:$I$59,6,FALSE),0)</f>
        <v/>
      </c>
      <c r="H30" s="212">
        <f>IFERROR(F30*G30,0)</f>
        <v/>
      </c>
      <c r="I30" s="213">
        <f>IF(B30="","",MONTH(B30))</f>
        <v/>
      </c>
      <c r="J30" s="213">
        <f>IF(B30="","",YEAR(B30))</f>
        <v/>
      </c>
      <c r="K30" s="191" t="n"/>
      <c r="L30" s="191" t="n"/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93" t="n"/>
      <c r="B31" s="215" t="n"/>
      <c r="C31" s="194" t="n"/>
      <c r="D31" s="193" t="n"/>
      <c r="E31" s="216">
        <f>IFERROR(VLOOKUP(D31,Productos!$A$5:$I$59,3,FALSE),"")</f>
        <v/>
      </c>
      <c r="F31" s="193" t="n"/>
      <c r="G31" s="217">
        <f>IFERROR(VLOOKUP(D31,Productos!$A$5:$I$59,6,FALSE),0)</f>
        <v/>
      </c>
      <c r="H31" s="218">
        <f>IFERROR(F31*G31,0)</f>
        <v/>
      </c>
      <c r="I31" s="219">
        <f>IF(B31="","",MONTH(B31))</f>
        <v/>
      </c>
      <c r="J31" s="219">
        <f>IF(B31="","",YEAR(B31))</f>
        <v/>
      </c>
      <c r="K31" s="194" t="n"/>
      <c r="L31" s="194" t="n"/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90" t="n"/>
      <c r="B32" s="209" t="n"/>
      <c r="C32" s="191" t="n"/>
      <c r="D32" s="190" t="n"/>
      <c r="E32" s="210">
        <f>IFERROR(VLOOKUP(D32,Productos!$A$5:$I$59,3,FALSE),"")</f>
        <v/>
      </c>
      <c r="F32" s="190" t="n"/>
      <c r="G32" s="211">
        <f>IFERROR(VLOOKUP(D32,Productos!$A$5:$I$59,6,FALSE),0)</f>
        <v/>
      </c>
      <c r="H32" s="212">
        <f>IFERROR(F32*G32,0)</f>
        <v/>
      </c>
      <c r="I32" s="213">
        <f>IF(B32="","",MONTH(B32))</f>
        <v/>
      </c>
      <c r="J32" s="213">
        <f>IF(B32="","",YEAR(B32))</f>
        <v/>
      </c>
      <c r="K32" s="191" t="n"/>
      <c r="L32" s="191" t="n"/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93" t="n"/>
      <c r="B33" s="215" t="n"/>
      <c r="C33" s="194" t="n"/>
      <c r="D33" s="193" t="n"/>
      <c r="E33" s="216">
        <f>IFERROR(VLOOKUP(D33,Productos!$A$5:$I$59,3,FALSE),"")</f>
        <v/>
      </c>
      <c r="F33" s="193" t="n"/>
      <c r="G33" s="217">
        <f>IFERROR(VLOOKUP(D33,Productos!$A$5:$I$59,6,FALSE),0)</f>
        <v/>
      </c>
      <c r="H33" s="218">
        <f>IFERROR(F33*G33,0)</f>
        <v/>
      </c>
      <c r="I33" s="219">
        <f>IF(B33="","",MONTH(B33))</f>
        <v/>
      </c>
      <c r="J33" s="219">
        <f>IF(B33="","",YEAR(B33))</f>
        <v/>
      </c>
      <c r="K33" s="194" t="n"/>
      <c r="L33" s="194" t="n"/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90" t="n"/>
      <c r="B34" s="209" t="n"/>
      <c r="C34" s="191" t="n"/>
      <c r="D34" s="190" t="n"/>
      <c r="E34" s="210">
        <f>IFERROR(VLOOKUP(D34,Productos!$A$5:$I$59,3,FALSE),"")</f>
        <v/>
      </c>
      <c r="F34" s="190" t="n"/>
      <c r="G34" s="211">
        <f>IFERROR(VLOOKUP(D34,Productos!$A$5:$I$59,6,FALSE),0)</f>
        <v/>
      </c>
      <c r="H34" s="212">
        <f>IFERROR(F34*G34,0)</f>
        <v/>
      </c>
      <c r="I34" s="213">
        <f>IF(B34="","",MONTH(B34))</f>
        <v/>
      </c>
      <c r="J34" s="213">
        <f>IF(B34="","",YEAR(B34))</f>
        <v/>
      </c>
      <c r="K34" s="191" t="n"/>
      <c r="L34" s="191" t="n"/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93" t="n"/>
      <c r="B35" s="215" t="n"/>
      <c r="C35" s="194" t="n"/>
      <c r="D35" s="193" t="n"/>
      <c r="E35" s="216">
        <f>IFERROR(VLOOKUP(D35,Productos!$A$5:$I$59,3,FALSE),"")</f>
        <v/>
      </c>
      <c r="F35" s="193" t="n"/>
      <c r="G35" s="217">
        <f>IFERROR(VLOOKUP(D35,Productos!$A$5:$I$59,6,FALSE),0)</f>
        <v/>
      </c>
      <c r="H35" s="218">
        <f>IFERROR(F35*G35,0)</f>
        <v/>
      </c>
      <c r="I35" s="219">
        <f>IF(B35="","",MONTH(B35))</f>
        <v/>
      </c>
      <c r="J35" s="219">
        <f>IF(B35="","",YEAR(B35))</f>
        <v/>
      </c>
      <c r="K35" s="194" t="n"/>
      <c r="L35" s="194" t="n"/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90" t="n"/>
      <c r="B36" s="209" t="n"/>
      <c r="C36" s="191" t="n"/>
      <c r="D36" s="190" t="n"/>
      <c r="E36" s="210">
        <f>IFERROR(VLOOKUP(D36,Productos!$A$5:$I$59,3,FALSE),"")</f>
        <v/>
      </c>
      <c r="F36" s="190" t="n"/>
      <c r="G36" s="211">
        <f>IFERROR(VLOOKUP(D36,Productos!$A$5:$I$59,6,FALSE),0)</f>
        <v/>
      </c>
      <c r="H36" s="212">
        <f>IFERROR(F36*G36,0)</f>
        <v/>
      </c>
      <c r="I36" s="213">
        <f>IF(B36="","",MONTH(B36))</f>
        <v/>
      </c>
      <c r="J36" s="213">
        <f>IF(B36="","",YEAR(B36))</f>
        <v/>
      </c>
      <c r="K36" s="191" t="n"/>
      <c r="L36" s="191" t="n"/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93" t="n"/>
      <c r="B37" s="215" t="n"/>
      <c r="C37" s="194" t="n"/>
      <c r="D37" s="193" t="n"/>
      <c r="E37" s="216">
        <f>IFERROR(VLOOKUP(D37,Productos!$A$5:$I$59,3,FALSE),"")</f>
        <v/>
      </c>
      <c r="F37" s="193" t="n"/>
      <c r="G37" s="217">
        <f>IFERROR(VLOOKUP(D37,Productos!$A$5:$I$59,6,FALSE),0)</f>
        <v/>
      </c>
      <c r="H37" s="218">
        <f>IFERROR(F37*G37,0)</f>
        <v/>
      </c>
      <c r="I37" s="219">
        <f>IF(B37="","",MONTH(B37))</f>
        <v/>
      </c>
      <c r="J37" s="219">
        <f>IF(B37="","",YEAR(B37))</f>
        <v/>
      </c>
      <c r="K37" s="194" t="n"/>
      <c r="L37" s="194" t="n"/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90" t="n"/>
      <c r="B38" s="209" t="n"/>
      <c r="C38" s="191" t="n"/>
      <c r="D38" s="190" t="n"/>
      <c r="E38" s="210">
        <f>IFERROR(VLOOKUP(D38,Productos!$A$5:$I$59,3,FALSE),"")</f>
        <v/>
      </c>
      <c r="F38" s="190" t="n"/>
      <c r="G38" s="211">
        <f>IFERROR(VLOOKUP(D38,Productos!$A$5:$I$59,6,FALSE),0)</f>
        <v/>
      </c>
      <c r="H38" s="212">
        <f>IFERROR(F38*G38,0)</f>
        <v/>
      </c>
      <c r="I38" s="213">
        <f>IF(B38="","",MONTH(B38))</f>
        <v/>
      </c>
      <c r="J38" s="213">
        <f>IF(B38="","",YEAR(B38))</f>
        <v/>
      </c>
      <c r="K38" s="191" t="n"/>
      <c r="L38" s="191" t="n"/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93" t="n"/>
      <c r="B39" s="215" t="n"/>
      <c r="C39" s="194" t="n"/>
      <c r="D39" s="193" t="n"/>
      <c r="E39" s="216">
        <f>IFERROR(VLOOKUP(D39,Productos!$A$5:$I$59,3,FALSE),"")</f>
        <v/>
      </c>
      <c r="F39" s="193" t="n"/>
      <c r="G39" s="217">
        <f>IFERROR(VLOOKUP(D39,Productos!$A$5:$I$59,6,FALSE),0)</f>
        <v/>
      </c>
      <c r="H39" s="218">
        <f>IFERROR(F39*G39,0)</f>
        <v/>
      </c>
      <c r="I39" s="219">
        <f>IF(B39="","",MONTH(B39))</f>
        <v/>
      </c>
      <c r="J39" s="219">
        <f>IF(B39="","",YEAR(B39))</f>
        <v/>
      </c>
      <c r="K39" s="194" t="n"/>
      <c r="L39" s="194" t="n"/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90" t="n"/>
      <c r="B40" s="209" t="n"/>
      <c r="C40" s="191" t="n"/>
      <c r="D40" s="190" t="n"/>
      <c r="E40" s="210">
        <f>IFERROR(VLOOKUP(D40,Productos!$A$5:$I$59,3,FALSE),"")</f>
        <v/>
      </c>
      <c r="F40" s="190" t="n"/>
      <c r="G40" s="211">
        <f>IFERROR(VLOOKUP(D40,Productos!$A$5:$I$59,6,FALSE),0)</f>
        <v/>
      </c>
      <c r="H40" s="212">
        <f>IFERROR(F40*G40,0)</f>
        <v/>
      </c>
      <c r="I40" s="213">
        <f>IF(B40="","",MONTH(B40))</f>
        <v/>
      </c>
      <c r="J40" s="213">
        <f>IF(B40="","",YEAR(B40))</f>
        <v/>
      </c>
      <c r="K40" s="191" t="n"/>
      <c r="L40" s="191" t="n"/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93" t="n"/>
      <c r="B41" s="215" t="n"/>
      <c r="C41" s="194" t="n"/>
      <c r="D41" s="193" t="n"/>
      <c r="E41" s="216">
        <f>IFERROR(VLOOKUP(D41,Productos!$A$5:$I$59,3,FALSE),"")</f>
        <v/>
      </c>
      <c r="F41" s="193" t="n"/>
      <c r="G41" s="217">
        <f>IFERROR(VLOOKUP(D41,Productos!$A$5:$I$59,6,FALSE),0)</f>
        <v/>
      </c>
      <c r="H41" s="218">
        <f>IFERROR(F41*G41,0)</f>
        <v/>
      </c>
      <c r="I41" s="219">
        <f>IF(B41="","",MONTH(B41))</f>
        <v/>
      </c>
      <c r="J41" s="219">
        <f>IF(B41="","",YEAR(B41))</f>
        <v/>
      </c>
      <c r="K41" s="194" t="n"/>
      <c r="L41" s="194" t="n"/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90" t="n"/>
      <c r="B42" s="209" t="n"/>
      <c r="C42" s="191" t="n"/>
      <c r="D42" s="190" t="n"/>
      <c r="E42" s="210">
        <f>IFERROR(VLOOKUP(D42,Productos!$A$5:$I$59,3,FALSE),"")</f>
        <v/>
      </c>
      <c r="F42" s="190" t="n"/>
      <c r="G42" s="211">
        <f>IFERROR(VLOOKUP(D42,Productos!$A$5:$I$59,6,FALSE),0)</f>
        <v/>
      </c>
      <c r="H42" s="212">
        <f>IFERROR(F42*G42,0)</f>
        <v/>
      </c>
      <c r="I42" s="213">
        <f>IF(B42="","",MONTH(B42))</f>
        <v/>
      </c>
      <c r="J42" s="213">
        <f>IF(B42="","",YEAR(B42))</f>
        <v/>
      </c>
      <c r="K42" s="191" t="n"/>
      <c r="L42" s="191" t="n"/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93" t="n"/>
      <c r="B43" s="215" t="n"/>
      <c r="C43" s="194" t="n"/>
      <c r="D43" s="193" t="n"/>
      <c r="E43" s="216">
        <f>IFERROR(VLOOKUP(D43,Productos!$A$5:$I$59,3,FALSE),"")</f>
        <v/>
      </c>
      <c r="F43" s="193" t="n"/>
      <c r="G43" s="217">
        <f>IFERROR(VLOOKUP(D43,Productos!$A$5:$I$59,6,FALSE),0)</f>
        <v/>
      </c>
      <c r="H43" s="218">
        <f>IFERROR(F43*G43,0)</f>
        <v/>
      </c>
      <c r="I43" s="219">
        <f>IF(B43="","",MONTH(B43))</f>
        <v/>
      </c>
      <c r="J43" s="219">
        <f>IF(B43="","",YEAR(B43))</f>
        <v/>
      </c>
      <c r="K43" s="194" t="n"/>
      <c r="L43" s="194" t="n"/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90" t="n"/>
      <c r="B44" s="209" t="n"/>
      <c r="C44" s="191" t="n"/>
      <c r="D44" s="190" t="n"/>
      <c r="E44" s="210">
        <f>IFERROR(VLOOKUP(D44,Productos!$A$5:$I$59,3,FALSE),"")</f>
        <v/>
      </c>
      <c r="F44" s="190" t="n"/>
      <c r="G44" s="211">
        <f>IFERROR(VLOOKUP(D44,Productos!$A$5:$I$59,6,FALSE),0)</f>
        <v/>
      </c>
      <c r="H44" s="212">
        <f>IFERROR(F44*G44,0)</f>
        <v/>
      </c>
      <c r="I44" s="213">
        <f>IF(B44="","",MONTH(B44))</f>
        <v/>
      </c>
      <c r="J44" s="213">
        <f>IF(B44="","",YEAR(B44))</f>
        <v/>
      </c>
      <c r="K44" s="191" t="n"/>
      <c r="L44" s="191" t="n"/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93" t="n"/>
      <c r="B45" s="215" t="n"/>
      <c r="C45" s="194" t="n"/>
      <c r="D45" s="193" t="n"/>
      <c r="E45" s="216">
        <f>IFERROR(VLOOKUP(D45,Productos!$A$5:$I$59,3,FALSE),"")</f>
        <v/>
      </c>
      <c r="F45" s="193" t="n"/>
      <c r="G45" s="217">
        <f>IFERROR(VLOOKUP(D45,Productos!$A$5:$I$59,6,FALSE),0)</f>
        <v/>
      </c>
      <c r="H45" s="218">
        <f>IFERROR(F45*G45,0)</f>
        <v/>
      </c>
      <c r="I45" s="219">
        <f>IF(B45="","",MONTH(B45))</f>
        <v/>
      </c>
      <c r="J45" s="219">
        <f>IF(B45="","",YEAR(B45))</f>
        <v/>
      </c>
      <c r="K45" s="194" t="n"/>
      <c r="L45" s="194" t="n"/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90" t="n"/>
      <c r="B46" s="209" t="n"/>
      <c r="C46" s="191" t="n"/>
      <c r="D46" s="190" t="n"/>
      <c r="E46" s="210">
        <f>IFERROR(VLOOKUP(D46,Productos!$A$5:$I$59,3,FALSE),"")</f>
        <v/>
      </c>
      <c r="F46" s="190" t="n"/>
      <c r="G46" s="211">
        <f>IFERROR(VLOOKUP(D46,Productos!$A$5:$I$59,6,FALSE),0)</f>
        <v/>
      </c>
      <c r="H46" s="212">
        <f>IFERROR(F46*G46,0)</f>
        <v/>
      </c>
      <c r="I46" s="213">
        <f>IF(B46="","",MONTH(B46))</f>
        <v/>
      </c>
      <c r="J46" s="213">
        <f>IF(B46="","",YEAR(B46))</f>
        <v/>
      </c>
      <c r="K46" s="191" t="n"/>
      <c r="L46" s="191" t="n"/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93" t="n"/>
      <c r="B47" s="215" t="n"/>
      <c r="C47" s="194" t="n"/>
      <c r="D47" s="193" t="n"/>
      <c r="E47" s="216">
        <f>IFERROR(VLOOKUP(D47,Productos!$A$5:$I$59,3,FALSE),"")</f>
        <v/>
      </c>
      <c r="F47" s="193" t="n"/>
      <c r="G47" s="217">
        <f>IFERROR(VLOOKUP(D47,Productos!$A$5:$I$59,6,FALSE),0)</f>
        <v/>
      </c>
      <c r="H47" s="218">
        <f>IFERROR(F47*G47,0)</f>
        <v/>
      </c>
      <c r="I47" s="219">
        <f>IF(B47="","",MONTH(B47))</f>
        <v/>
      </c>
      <c r="J47" s="219">
        <f>IF(B47="","",YEAR(B47))</f>
        <v/>
      </c>
      <c r="K47" s="194" t="n"/>
      <c r="L47" s="194" t="n"/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90" t="n"/>
      <c r="B48" s="209" t="n"/>
      <c r="C48" s="191" t="n"/>
      <c r="D48" s="190" t="n"/>
      <c r="E48" s="210">
        <f>IFERROR(VLOOKUP(D48,Productos!$A$5:$I$59,3,FALSE),"")</f>
        <v/>
      </c>
      <c r="F48" s="190" t="n"/>
      <c r="G48" s="211">
        <f>IFERROR(VLOOKUP(D48,Productos!$A$5:$I$59,6,FALSE),0)</f>
        <v/>
      </c>
      <c r="H48" s="212">
        <f>IFERROR(F48*G48,0)</f>
        <v/>
      </c>
      <c r="I48" s="213">
        <f>IF(B48="","",MONTH(B48))</f>
        <v/>
      </c>
      <c r="J48" s="213">
        <f>IF(B48="","",YEAR(B48))</f>
        <v/>
      </c>
      <c r="K48" s="191" t="n"/>
      <c r="L48" s="191" t="n"/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93" t="n"/>
      <c r="B49" s="215" t="n"/>
      <c r="C49" s="194" t="n"/>
      <c r="D49" s="193" t="n"/>
      <c r="E49" s="216">
        <f>IFERROR(VLOOKUP(D49,Productos!$A$5:$I$59,3,FALSE),"")</f>
        <v/>
      </c>
      <c r="F49" s="193" t="n"/>
      <c r="G49" s="217">
        <f>IFERROR(VLOOKUP(D49,Productos!$A$5:$I$59,6,FALSE),0)</f>
        <v/>
      </c>
      <c r="H49" s="218">
        <f>IFERROR(F49*G49,0)</f>
        <v/>
      </c>
      <c r="I49" s="219">
        <f>IF(B49="","",MONTH(B49))</f>
        <v/>
      </c>
      <c r="J49" s="219">
        <f>IF(B49="","",YEAR(B49))</f>
        <v/>
      </c>
      <c r="K49" s="194" t="n"/>
      <c r="L49" s="194" t="n"/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90" t="n"/>
      <c r="B50" s="209" t="n"/>
      <c r="C50" s="191" t="n"/>
      <c r="D50" s="190" t="n"/>
      <c r="E50" s="210">
        <f>IFERROR(VLOOKUP(D50,Productos!$A$5:$I$59,3,FALSE),"")</f>
        <v/>
      </c>
      <c r="F50" s="190" t="n"/>
      <c r="G50" s="211">
        <f>IFERROR(VLOOKUP(D50,Productos!$A$5:$I$59,6,FALSE),0)</f>
        <v/>
      </c>
      <c r="H50" s="212">
        <f>IFERROR(F50*G50,0)</f>
        <v/>
      </c>
      <c r="I50" s="213">
        <f>IF(B50="","",MONTH(B50))</f>
        <v/>
      </c>
      <c r="J50" s="213">
        <f>IF(B50="","",YEAR(B50))</f>
        <v/>
      </c>
      <c r="K50" s="191" t="n"/>
      <c r="L50" s="191" t="n"/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93" t="n"/>
      <c r="B51" s="215" t="n"/>
      <c r="C51" s="194" t="n"/>
      <c r="D51" s="193" t="n"/>
      <c r="E51" s="216">
        <f>IFERROR(VLOOKUP(D51,Productos!$A$5:$I$59,3,FALSE),"")</f>
        <v/>
      </c>
      <c r="F51" s="193" t="n"/>
      <c r="G51" s="217">
        <f>IFERROR(VLOOKUP(D51,Productos!$A$5:$I$59,6,FALSE),0)</f>
        <v/>
      </c>
      <c r="H51" s="218">
        <f>IFERROR(F51*G51,0)</f>
        <v/>
      </c>
      <c r="I51" s="219">
        <f>IF(B51="","",MONTH(B51))</f>
        <v/>
      </c>
      <c r="J51" s="219">
        <f>IF(B51="","",YEAR(B51))</f>
        <v/>
      </c>
      <c r="K51" s="194" t="n"/>
      <c r="L51" s="194" t="n"/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90" t="n"/>
      <c r="B52" s="209" t="n"/>
      <c r="C52" s="191" t="n"/>
      <c r="D52" s="190" t="n"/>
      <c r="E52" s="210">
        <f>IFERROR(VLOOKUP(D52,Productos!$A$5:$I$59,3,FALSE),"")</f>
        <v/>
      </c>
      <c r="F52" s="190" t="n"/>
      <c r="G52" s="211">
        <f>IFERROR(VLOOKUP(D52,Productos!$A$5:$I$59,6,FALSE),0)</f>
        <v/>
      </c>
      <c r="H52" s="212">
        <f>IFERROR(F52*G52,0)</f>
        <v/>
      </c>
      <c r="I52" s="213">
        <f>IF(B52="","",MONTH(B52))</f>
        <v/>
      </c>
      <c r="J52" s="213">
        <f>IF(B52="","",YEAR(B52))</f>
        <v/>
      </c>
      <c r="K52" s="191" t="n"/>
      <c r="L52" s="191" t="n"/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93" t="n"/>
      <c r="B53" s="215" t="n"/>
      <c r="C53" s="194" t="n"/>
      <c r="D53" s="193" t="n"/>
      <c r="E53" s="216">
        <f>IFERROR(VLOOKUP(D53,Productos!$A$5:$I$59,3,FALSE),"")</f>
        <v/>
      </c>
      <c r="F53" s="193" t="n"/>
      <c r="G53" s="217">
        <f>IFERROR(VLOOKUP(D53,Productos!$A$5:$I$59,6,FALSE),0)</f>
        <v/>
      </c>
      <c r="H53" s="218">
        <f>IFERROR(F53*G53,0)</f>
        <v/>
      </c>
      <c r="I53" s="219">
        <f>IF(B53="","",MONTH(B53))</f>
        <v/>
      </c>
      <c r="J53" s="219">
        <f>IF(B53="","",YEAR(B53))</f>
        <v/>
      </c>
      <c r="K53" s="194" t="n"/>
      <c r="L53" s="194" t="n"/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90" t="n"/>
      <c r="B54" s="209" t="n"/>
      <c r="C54" s="191" t="n"/>
      <c r="D54" s="190" t="n"/>
      <c r="E54" s="210">
        <f>IFERROR(VLOOKUP(D54,Productos!$A$5:$I$59,3,FALSE),"")</f>
        <v/>
      </c>
      <c r="F54" s="190" t="n"/>
      <c r="G54" s="211">
        <f>IFERROR(VLOOKUP(D54,Productos!$A$5:$I$59,6,FALSE),0)</f>
        <v/>
      </c>
      <c r="H54" s="212">
        <f>IFERROR(F54*G54,0)</f>
        <v/>
      </c>
      <c r="I54" s="213">
        <f>IF(B54="","",MONTH(B54))</f>
        <v/>
      </c>
      <c r="J54" s="213">
        <f>IF(B54="","",YEAR(B54))</f>
        <v/>
      </c>
      <c r="K54" s="191" t="n"/>
      <c r="L54" s="191" t="n"/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93" t="n"/>
      <c r="B55" s="215" t="n"/>
      <c r="C55" s="194" t="n"/>
      <c r="D55" s="193" t="n"/>
      <c r="E55" s="216">
        <f>IFERROR(VLOOKUP(D55,Productos!$A$5:$I$59,3,FALSE),"")</f>
        <v/>
      </c>
      <c r="F55" s="193" t="n"/>
      <c r="G55" s="217">
        <f>IFERROR(VLOOKUP(D55,Productos!$A$5:$I$59,6,FALSE),0)</f>
        <v/>
      </c>
      <c r="H55" s="218">
        <f>IFERROR(F55*G55,0)</f>
        <v/>
      </c>
      <c r="I55" s="219">
        <f>IF(B55="","",MONTH(B55))</f>
        <v/>
      </c>
      <c r="J55" s="219">
        <f>IF(B55="","",YEAR(B55))</f>
        <v/>
      </c>
      <c r="K55" s="194" t="n"/>
      <c r="L55" s="194" t="n"/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90" t="n"/>
      <c r="B56" s="209" t="n"/>
      <c r="C56" s="191" t="n"/>
      <c r="D56" s="190" t="n"/>
      <c r="E56" s="210">
        <f>IFERROR(VLOOKUP(D56,Productos!$A$5:$I$59,3,FALSE),"")</f>
        <v/>
      </c>
      <c r="F56" s="190" t="n"/>
      <c r="G56" s="211">
        <f>IFERROR(VLOOKUP(D56,Productos!$A$5:$I$59,6,FALSE),0)</f>
        <v/>
      </c>
      <c r="H56" s="212">
        <f>IFERROR(F56*G56,0)</f>
        <v/>
      </c>
      <c r="I56" s="213">
        <f>IF(B56="","",MONTH(B56))</f>
        <v/>
      </c>
      <c r="J56" s="213">
        <f>IF(B56="","",YEAR(B56))</f>
        <v/>
      </c>
      <c r="K56" s="191" t="n"/>
      <c r="L56" s="191" t="n"/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93" t="n"/>
      <c r="B57" s="215" t="n"/>
      <c r="C57" s="194" t="n"/>
      <c r="D57" s="193" t="n"/>
      <c r="E57" s="216">
        <f>IFERROR(VLOOKUP(D57,Productos!$A$5:$I$59,3,FALSE),"")</f>
        <v/>
      </c>
      <c r="F57" s="193" t="n"/>
      <c r="G57" s="217">
        <f>IFERROR(VLOOKUP(D57,Productos!$A$5:$I$59,6,FALSE),0)</f>
        <v/>
      </c>
      <c r="H57" s="218">
        <f>IFERROR(F57*G57,0)</f>
        <v/>
      </c>
      <c r="I57" s="219">
        <f>IF(B57="","",MONTH(B57))</f>
        <v/>
      </c>
      <c r="J57" s="219">
        <f>IF(B57="","",YEAR(B57))</f>
        <v/>
      </c>
      <c r="K57" s="194" t="n"/>
      <c r="L57" s="194" t="n"/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90" t="n"/>
      <c r="B58" s="209" t="n"/>
      <c r="C58" s="191" t="n"/>
      <c r="D58" s="190" t="n"/>
      <c r="E58" s="210">
        <f>IFERROR(VLOOKUP(D58,Productos!$A$5:$I$59,3,FALSE),"")</f>
        <v/>
      </c>
      <c r="F58" s="190" t="n"/>
      <c r="G58" s="211">
        <f>IFERROR(VLOOKUP(D58,Productos!$A$5:$I$59,6,FALSE),0)</f>
        <v/>
      </c>
      <c r="H58" s="212">
        <f>IFERROR(F58*G58,0)</f>
        <v/>
      </c>
      <c r="I58" s="213">
        <f>IF(B58="","",MONTH(B58))</f>
        <v/>
      </c>
      <c r="J58" s="213">
        <f>IF(B58="","",YEAR(B58))</f>
        <v/>
      </c>
      <c r="K58" s="191" t="n"/>
      <c r="L58" s="191" t="n"/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93" t="n"/>
      <c r="B59" s="215" t="n"/>
      <c r="C59" s="194" t="n"/>
      <c r="D59" s="193" t="n"/>
      <c r="E59" s="216">
        <f>IFERROR(VLOOKUP(D59,Productos!$A$5:$I$59,3,FALSE),"")</f>
        <v/>
      </c>
      <c r="F59" s="193" t="n"/>
      <c r="G59" s="217">
        <f>IFERROR(VLOOKUP(D59,Productos!$A$5:$I$59,6,FALSE),0)</f>
        <v/>
      </c>
      <c r="H59" s="218">
        <f>IFERROR(F59*G59,0)</f>
        <v/>
      </c>
      <c r="I59" s="219">
        <f>IF(B59="","",MONTH(B59))</f>
        <v/>
      </c>
      <c r="J59" s="219">
        <f>IF(B59="","",YEAR(B59))</f>
        <v/>
      </c>
      <c r="K59" s="194" t="n"/>
      <c r="L59" s="194" t="n"/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90" t="n"/>
      <c r="B60" s="209" t="n"/>
      <c r="C60" s="191" t="n"/>
      <c r="D60" s="190" t="n"/>
      <c r="E60" s="210">
        <f>IFERROR(VLOOKUP(D60,Productos!$A$5:$I$59,3,FALSE),"")</f>
        <v/>
      </c>
      <c r="F60" s="190" t="n"/>
      <c r="G60" s="211">
        <f>IFERROR(VLOOKUP(D60,Productos!$A$5:$I$59,6,FALSE),0)</f>
        <v/>
      </c>
      <c r="H60" s="212">
        <f>IFERROR(F60*G60,0)</f>
        <v/>
      </c>
      <c r="I60" s="213">
        <f>IF(B60="","",MONTH(B60))</f>
        <v/>
      </c>
      <c r="J60" s="213">
        <f>IF(B60="","",YEAR(B60))</f>
        <v/>
      </c>
      <c r="K60" s="191" t="n"/>
      <c r="L60" s="191" t="n"/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93" t="n"/>
      <c r="B61" s="215" t="n"/>
      <c r="C61" s="194" t="n"/>
      <c r="D61" s="193" t="n"/>
      <c r="E61" s="216">
        <f>IFERROR(VLOOKUP(D61,Productos!$A$5:$I$59,3,FALSE),"")</f>
        <v/>
      </c>
      <c r="F61" s="193" t="n"/>
      <c r="G61" s="217">
        <f>IFERROR(VLOOKUP(D61,Productos!$A$5:$I$59,6,FALSE),0)</f>
        <v/>
      </c>
      <c r="H61" s="218">
        <f>IFERROR(F61*G61,0)</f>
        <v/>
      </c>
      <c r="I61" s="219">
        <f>IF(B61="","",MONTH(B61))</f>
        <v/>
      </c>
      <c r="J61" s="219">
        <f>IF(B61="","",YEAR(B61))</f>
        <v/>
      </c>
      <c r="K61" s="194" t="n"/>
      <c r="L61" s="194" t="n"/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90" t="n"/>
      <c r="B62" s="209" t="n"/>
      <c r="C62" s="191" t="n"/>
      <c r="D62" s="190" t="n"/>
      <c r="E62" s="210">
        <f>IFERROR(VLOOKUP(D62,Productos!$A$5:$I$59,3,FALSE),"")</f>
        <v/>
      </c>
      <c r="F62" s="190" t="n"/>
      <c r="G62" s="211">
        <f>IFERROR(VLOOKUP(D62,Productos!$A$5:$I$59,6,FALSE),0)</f>
        <v/>
      </c>
      <c r="H62" s="212">
        <f>IFERROR(F62*G62,0)</f>
        <v/>
      </c>
      <c r="I62" s="213">
        <f>IF(B62="","",MONTH(B62))</f>
        <v/>
      </c>
      <c r="J62" s="213">
        <f>IF(B62="","",YEAR(B62))</f>
        <v/>
      </c>
      <c r="K62" s="191" t="n"/>
      <c r="L62" s="191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93" t="n"/>
      <c r="B63" s="215" t="n"/>
      <c r="C63" s="194" t="n"/>
      <c r="D63" s="193" t="n"/>
      <c r="E63" s="216">
        <f>IFERROR(VLOOKUP(D63,Productos!$A$5:$I$59,3,FALSE),"")</f>
        <v/>
      </c>
      <c r="F63" s="193" t="n"/>
      <c r="G63" s="217">
        <f>IFERROR(VLOOKUP(D63,Productos!$A$5:$I$59,6,FALSE),0)</f>
        <v/>
      </c>
      <c r="H63" s="218">
        <f>IFERROR(F63*G63,0)</f>
        <v/>
      </c>
      <c r="I63" s="219">
        <f>IF(B63="","",MONTH(B63))</f>
        <v/>
      </c>
      <c r="J63" s="219">
        <f>IF(B63="","",YEAR(B63))</f>
        <v/>
      </c>
      <c r="K63" s="194" t="n"/>
      <c r="L63" s="194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90" t="n"/>
      <c r="B64" s="209" t="n"/>
      <c r="C64" s="191" t="n"/>
      <c r="D64" s="190" t="n"/>
      <c r="E64" s="210">
        <f>IFERROR(VLOOKUP(D64,Productos!$A$5:$I$59,3,FALSE),"")</f>
        <v/>
      </c>
      <c r="F64" s="190" t="n"/>
      <c r="G64" s="211">
        <f>IFERROR(VLOOKUP(D64,Productos!$A$5:$I$59,6,FALSE),0)</f>
        <v/>
      </c>
      <c r="H64" s="212">
        <f>IFERROR(F64*G64,0)</f>
        <v/>
      </c>
      <c r="I64" s="213">
        <f>IF(B64="","",MONTH(B64))</f>
        <v/>
      </c>
      <c r="J64" s="213">
        <f>IF(B64="","",YEAR(B64))</f>
        <v/>
      </c>
      <c r="K64" s="191" t="n"/>
      <c r="L64" s="191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93" t="n"/>
      <c r="B65" s="215" t="n"/>
      <c r="C65" s="194" t="n"/>
      <c r="D65" s="193" t="n"/>
      <c r="E65" s="216">
        <f>IFERROR(VLOOKUP(D65,Productos!$A$5:$I$59,3,FALSE),"")</f>
        <v/>
      </c>
      <c r="F65" s="193" t="n"/>
      <c r="G65" s="217">
        <f>IFERROR(VLOOKUP(D65,Productos!$A$5:$I$59,6,FALSE),0)</f>
        <v/>
      </c>
      <c r="H65" s="218">
        <f>IFERROR(F65*G65,0)</f>
        <v/>
      </c>
      <c r="I65" s="219">
        <f>IF(B65="","",MONTH(B65))</f>
        <v/>
      </c>
      <c r="J65" s="219">
        <f>IF(B65="","",YEAR(B65))</f>
        <v/>
      </c>
      <c r="K65" s="194" t="n"/>
      <c r="L65" s="194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90" t="n"/>
      <c r="B66" s="209" t="n"/>
      <c r="C66" s="191" t="n"/>
      <c r="D66" s="190" t="n"/>
      <c r="E66" s="210">
        <f>IFERROR(VLOOKUP(D66,Productos!$A$5:$I$59,3,FALSE),"")</f>
        <v/>
      </c>
      <c r="F66" s="190" t="n"/>
      <c r="G66" s="211">
        <f>IFERROR(VLOOKUP(D66,Productos!$A$5:$I$59,6,FALSE),0)</f>
        <v/>
      </c>
      <c r="H66" s="212">
        <f>IFERROR(F66*G66,0)</f>
        <v/>
      </c>
      <c r="I66" s="213">
        <f>IF(B66="","",MONTH(B66))</f>
        <v/>
      </c>
      <c r="J66" s="213">
        <f>IF(B66="","",YEAR(B66))</f>
        <v/>
      </c>
      <c r="K66" s="191" t="n"/>
      <c r="L66" s="191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93" t="n"/>
      <c r="B67" s="215" t="n"/>
      <c r="C67" s="194" t="n"/>
      <c r="D67" s="193" t="n"/>
      <c r="E67" s="216">
        <f>IFERROR(VLOOKUP(D67,Productos!$A$5:$I$59,3,FALSE),"")</f>
        <v/>
      </c>
      <c r="F67" s="193" t="n"/>
      <c r="G67" s="217">
        <f>IFERROR(VLOOKUP(D67,Productos!$A$5:$I$59,6,FALSE),0)</f>
        <v/>
      </c>
      <c r="H67" s="218">
        <f>IFERROR(F67*G67,0)</f>
        <v/>
      </c>
      <c r="I67" s="219">
        <f>IF(B67="","",MONTH(B67))</f>
        <v/>
      </c>
      <c r="J67" s="219">
        <f>IF(B67="","",YEAR(B67))</f>
        <v/>
      </c>
      <c r="K67" s="194" t="n"/>
      <c r="L67" s="194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90" t="n"/>
      <c r="B68" s="209" t="n"/>
      <c r="C68" s="191" t="n"/>
      <c r="D68" s="190" t="n"/>
      <c r="E68" s="210">
        <f>IFERROR(VLOOKUP(D68,Productos!$A$5:$I$59,3,FALSE),"")</f>
        <v/>
      </c>
      <c r="F68" s="190" t="n"/>
      <c r="G68" s="211">
        <f>IFERROR(VLOOKUP(D68,Productos!$A$5:$I$59,6,FALSE),0)</f>
        <v/>
      </c>
      <c r="H68" s="212">
        <f>IFERROR(F68*G68,0)</f>
        <v/>
      </c>
      <c r="I68" s="213">
        <f>IF(B68="","",MONTH(B68))</f>
        <v/>
      </c>
      <c r="J68" s="213">
        <f>IF(B68="","",YEAR(B68))</f>
        <v/>
      </c>
      <c r="K68" s="191" t="n"/>
      <c r="L68" s="191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93" t="n"/>
      <c r="B69" s="215" t="n"/>
      <c r="C69" s="194" t="n"/>
      <c r="D69" s="193" t="n"/>
      <c r="E69" s="216">
        <f>IFERROR(VLOOKUP(D69,Productos!$A$5:$I$59,3,FALSE),"")</f>
        <v/>
      </c>
      <c r="F69" s="193" t="n"/>
      <c r="G69" s="217">
        <f>IFERROR(VLOOKUP(D69,Productos!$A$5:$I$59,6,FALSE),0)</f>
        <v/>
      </c>
      <c r="H69" s="218">
        <f>IFERROR(F69*G69,0)</f>
        <v/>
      </c>
      <c r="I69" s="219">
        <f>IF(B69="","",MONTH(B69))</f>
        <v/>
      </c>
      <c r="J69" s="219">
        <f>IF(B69="","",YEAR(B69))</f>
        <v/>
      </c>
      <c r="K69" s="194" t="n"/>
      <c r="L69" s="194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90" t="n"/>
      <c r="B70" s="209" t="n"/>
      <c r="C70" s="191" t="n"/>
      <c r="D70" s="190" t="n"/>
      <c r="E70" s="210">
        <f>IFERROR(VLOOKUP(D70,Productos!$A$5:$I$59,3,FALSE),"")</f>
        <v/>
      </c>
      <c r="F70" s="190" t="n"/>
      <c r="G70" s="211">
        <f>IFERROR(VLOOKUP(D70,Productos!$A$5:$I$59,6,FALSE),0)</f>
        <v/>
      </c>
      <c r="H70" s="212">
        <f>IFERROR(F70*G70,0)</f>
        <v/>
      </c>
      <c r="I70" s="213">
        <f>IF(B70="","",MONTH(B70))</f>
        <v/>
      </c>
      <c r="J70" s="213">
        <f>IF(B70="","",YEAR(B70))</f>
        <v/>
      </c>
      <c r="K70" s="191" t="n"/>
      <c r="L70" s="191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93" t="n"/>
      <c r="B71" s="215" t="n"/>
      <c r="C71" s="194" t="n"/>
      <c r="D71" s="193" t="n"/>
      <c r="E71" s="216">
        <f>IFERROR(VLOOKUP(D71,Productos!$A$5:$I$59,3,FALSE),"")</f>
        <v/>
      </c>
      <c r="F71" s="193" t="n"/>
      <c r="G71" s="217">
        <f>IFERROR(VLOOKUP(D71,Productos!$A$5:$I$59,6,FALSE),0)</f>
        <v/>
      </c>
      <c r="H71" s="218">
        <f>IFERROR(F71*G71,0)</f>
        <v/>
      </c>
      <c r="I71" s="219">
        <f>IF(B71="","",MONTH(B71))</f>
        <v/>
      </c>
      <c r="J71" s="219">
        <f>IF(B71="","",YEAR(B71))</f>
        <v/>
      </c>
      <c r="K71" s="194" t="n"/>
      <c r="L71" s="194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90" t="n"/>
      <c r="B72" s="209" t="n"/>
      <c r="C72" s="191" t="n"/>
      <c r="D72" s="190" t="n"/>
      <c r="E72" s="210">
        <f>IFERROR(VLOOKUP(D72,Productos!$A$5:$I$59,3,FALSE),"")</f>
        <v/>
      </c>
      <c r="F72" s="190" t="n"/>
      <c r="G72" s="211">
        <f>IFERROR(VLOOKUP(D72,Productos!$A$5:$I$59,6,FALSE),0)</f>
        <v/>
      </c>
      <c r="H72" s="212">
        <f>IFERROR(F72*G72,0)</f>
        <v/>
      </c>
      <c r="I72" s="213">
        <f>IF(B72="","",MONTH(B72))</f>
        <v/>
      </c>
      <c r="J72" s="213">
        <f>IF(B72="","",YEAR(B72))</f>
        <v/>
      </c>
      <c r="K72" s="191" t="n"/>
      <c r="L72" s="191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93" t="n"/>
      <c r="B73" s="215" t="n"/>
      <c r="C73" s="194" t="n"/>
      <c r="D73" s="193" t="n"/>
      <c r="E73" s="216">
        <f>IFERROR(VLOOKUP(D73,Productos!$A$5:$I$59,3,FALSE),"")</f>
        <v/>
      </c>
      <c r="F73" s="193" t="n"/>
      <c r="G73" s="217">
        <f>IFERROR(VLOOKUP(D73,Productos!$A$5:$I$59,6,FALSE),0)</f>
        <v/>
      </c>
      <c r="H73" s="218">
        <f>IFERROR(F73*G73,0)</f>
        <v/>
      </c>
      <c r="I73" s="219">
        <f>IF(B73="","",MONTH(B73))</f>
        <v/>
      </c>
      <c r="J73" s="219">
        <f>IF(B73="","",YEAR(B73))</f>
        <v/>
      </c>
      <c r="K73" s="194" t="n"/>
      <c r="L73" s="194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90" t="n"/>
      <c r="B74" s="209" t="n"/>
      <c r="C74" s="191" t="n"/>
      <c r="D74" s="190" t="n"/>
      <c r="E74" s="210">
        <f>IFERROR(VLOOKUP(D74,Productos!$A$5:$I$59,3,FALSE),"")</f>
        <v/>
      </c>
      <c r="F74" s="190" t="n"/>
      <c r="G74" s="211">
        <f>IFERROR(VLOOKUP(D74,Productos!$A$5:$I$59,6,FALSE),0)</f>
        <v/>
      </c>
      <c r="H74" s="212">
        <f>IFERROR(F74*G74,0)</f>
        <v/>
      </c>
      <c r="I74" s="213">
        <f>IF(B74="","",MONTH(B74))</f>
        <v/>
      </c>
      <c r="J74" s="213">
        <f>IF(B74="","",YEAR(B74))</f>
        <v/>
      </c>
      <c r="K74" s="191" t="n"/>
      <c r="L74" s="191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93" t="n"/>
      <c r="B75" s="215" t="n"/>
      <c r="C75" s="194" t="n"/>
      <c r="D75" s="193" t="n"/>
      <c r="E75" s="216">
        <f>IFERROR(VLOOKUP(D75,Productos!$A$5:$I$59,3,FALSE),"")</f>
        <v/>
      </c>
      <c r="F75" s="193" t="n"/>
      <c r="G75" s="217">
        <f>IFERROR(VLOOKUP(D75,Productos!$A$5:$I$59,6,FALSE),0)</f>
        <v/>
      </c>
      <c r="H75" s="218">
        <f>IFERROR(F75*G75,0)</f>
        <v/>
      </c>
      <c r="I75" s="219">
        <f>IF(B75="","",MONTH(B75))</f>
        <v/>
      </c>
      <c r="J75" s="219">
        <f>IF(B75="","",YEAR(B75))</f>
        <v/>
      </c>
      <c r="K75" s="194" t="n"/>
      <c r="L75" s="194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90" t="n"/>
      <c r="B76" s="209" t="n"/>
      <c r="C76" s="191" t="n"/>
      <c r="D76" s="190" t="n"/>
      <c r="E76" s="210">
        <f>IFERROR(VLOOKUP(D76,Productos!$A$5:$I$59,3,FALSE),"")</f>
        <v/>
      </c>
      <c r="F76" s="190" t="n"/>
      <c r="G76" s="211">
        <f>IFERROR(VLOOKUP(D76,Productos!$A$5:$I$59,6,FALSE),0)</f>
        <v/>
      </c>
      <c r="H76" s="212">
        <f>IFERROR(F76*G76,0)</f>
        <v/>
      </c>
      <c r="I76" s="213">
        <f>IF(B76="","",MONTH(B76))</f>
        <v/>
      </c>
      <c r="J76" s="213">
        <f>IF(B76="","",YEAR(B76))</f>
        <v/>
      </c>
      <c r="K76" s="191" t="n"/>
      <c r="L76" s="191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93" t="n"/>
      <c r="B77" s="215" t="n"/>
      <c r="C77" s="194" t="n"/>
      <c r="D77" s="193" t="n"/>
      <c r="E77" s="216">
        <f>IFERROR(VLOOKUP(D77,Productos!$A$5:$I$59,3,FALSE),"")</f>
        <v/>
      </c>
      <c r="F77" s="193" t="n"/>
      <c r="G77" s="217">
        <f>IFERROR(VLOOKUP(D77,Productos!$A$5:$I$59,6,FALSE),0)</f>
        <v/>
      </c>
      <c r="H77" s="218">
        <f>IFERROR(F77*G77,0)</f>
        <v/>
      </c>
      <c r="I77" s="219">
        <f>IF(B77="","",MONTH(B77))</f>
        <v/>
      </c>
      <c r="J77" s="219">
        <f>IF(B77="","",YEAR(B77))</f>
        <v/>
      </c>
      <c r="K77" s="194" t="n"/>
      <c r="L77" s="194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90" t="n"/>
      <c r="B78" s="209" t="n"/>
      <c r="C78" s="191" t="n"/>
      <c r="D78" s="190" t="n"/>
      <c r="E78" s="210">
        <f>IFERROR(VLOOKUP(D78,Productos!$A$5:$I$59,3,FALSE),"")</f>
        <v/>
      </c>
      <c r="F78" s="190" t="n"/>
      <c r="G78" s="211">
        <f>IFERROR(VLOOKUP(D78,Productos!$A$5:$I$59,6,FALSE),0)</f>
        <v/>
      </c>
      <c r="H78" s="212">
        <f>IFERROR(F78*G78,0)</f>
        <v/>
      </c>
      <c r="I78" s="213">
        <f>IF(B78="","",MONTH(B78))</f>
        <v/>
      </c>
      <c r="J78" s="213">
        <f>IF(B78="","",YEAR(B78))</f>
        <v/>
      </c>
      <c r="K78" s="191" t="n"/>
      <c r="L78" s="191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93" t="n"/>
      <c r="B79" s="215" t="n"/>
      <c r="C79" s="194" t="n"/>
      <c r="D79" s="193" t="n"/>
      <c r="E79" s="216">
        <f>IFERROR(VLOOKUP(D79,Productos!$A$5:$I$59,3,FALSE),"")</f>
        <v/>
      </c>
      <c r="F79" s="193" t="n"/>
      <c r="G79" s="217">
        <f>IFERROR(VLOOKUP(D79,Productos!$A$5:$I$59,6,FALSE),0)</f>
        <v/>
      </c>
      <c r="H79" s="218">
        <f>IFERROR(F79*G79,0)</f>
        <v/>
      </c>
      <c r="I79" s="219">
        <f>IF(B79="","",MONTH(B79))</f>
        <v/>
      </c>
      <c r="J79" s="219">
        <f>IF(B79="","",YEAR(B79))</f>
        <v/>
      </c>
      <c r="K79" s="194" t="n"/>
      <c r="L79" s="194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90" t="n"/>
      <c r="B80" s="209" t="n"/>
      <c r="C80" s="191" t="n"/>
      <c r="D80" s="190" t="n"/>
      <c r="E80" s="210">
        <f>IFERROR(VLOOKUP(D80,Productos!$A$5:$I$59,3,FALSE),"")</f>
        <v/>
      </c>
      <c r="F80" s="190" t="n"/>
      <c r="G80" s="211">
        <f>IFERROR(VLOOKUP(D80,Productos!$A$5:$I$59,6,FALSE),0)</f>
        <v/>
      </c>
      <c r="H80" s="212">
        <f>IFERROR(F80*G80,0)</f>
        <v/>
      </c>
      <c r="I80" s="213">
        <f>IF(B80="","",MONTH(B80))</f>
        <v/>
      </c>
      <c r="J80" s="213">
        <f>IF(B80="","",YEAR(B80))</f>
        <v/>
      </c>
      <c r="K80" s="191" t="n"/>
      <c r="L80" s="191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93" t="n"/>
      <c r="B81" s="215" t="n"/>
      <c r="C81" s="194" t="n"/>
      <c r="D81" s="193" t="n"/>
      <c r="E81" s="216">
        <f>IFERROR(VLOOKUP(D81,Productos!$A$5:$I$59,3,FALSE),"")</f>
        <v/>
      </c>
      <c r="F81" s="193" t="n"/>
      <c r="G81" s="217">
        <f>IFERROR(VLOOKUP(D81,Productos!$A$5:$I$59,6,FALSE),0)</f>
        <v/>
      </c>
      <c r="H81" s="218">
        <f>IFERROR(F81*G81,0)</f>
        <v/>
      </c>
      <c r="I81" s="219">
        <f>IF(B81="","",MONTH(B81))</f>
        <v/>
      </c>
      <c r="J81" s="219">
        <f>IF(B81="","",YEAR(B81))</f>
        <v/>
      </c>
      <c r="K81" s="194" t="n"/>
      <c r="L81" s="194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90" t="n"/>
      <c r="B82" s="209" t="n"/>
      <c r="C82" s="191" t="n"/>
      <c r="D82" s="190" t="n"/>
      <c r="E82" s="210">
        <f>IFERROR(VLOOKUP(D82,Productos!$A$5:$I$59,3,FALSE),"")</f>
        <v/>
      </c>
      <c r="F82" s="190" t="n"/>
      <c r="G82" s="211">
        <f>IFERROR(VLOOKUP(D82,Productos!$A$5:$I$59,6,FALSE),0)</f>
        <v/>
      </c>
      <c r="H82" s="212">
        <f>IFERROR(F82*G82,0)</f>
        <v/>
      </c>
      <c r="I82" s="213">
        <f>IF(B82="","",MONTH(B82))</f>
        <v/>
      </c>
      <c r="J82" s="213">
        <f>IF(B82="","",YEAR(B82))</f>
        <v/>
      </c>
      <c r="K82" s="191" t="n"/>
      <c r="L82" s="191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93" t="n"/>
      <c r="B83" s="215" t="n"/>
      <c r="C83" s="194" t="n"/>
      <c r="D83" s="193" t="n"/>
      <c r="E83" s="216">
        <f>IFERROR(VLOOKUP(D83,Productos!$A$5:$I$59,3,FALSE),"")</f>
        <v/>
      </c>
      <c r="F83" s="193" t="n"/>
      <c r="G83" s="217">
        <f>IFERROR(VLOOKUP(D83,Productos!$A$5:$I$59,6,FALSE),0)</f>
        <v/>
      </c>
      <c r="H83" s="218">
        <f>IFERROR(F83*G83,0)</f>
        <v/>
      </c>
      <c r="I83" s="219">
        <f>IF(B83="","",MONTH(B83))</f>
        <v/>
      </c>
      <c r="J83" s="219">
        <f>IF(B83="","",YEAR(B83))</f>
        <v/>
      </c>
      <c r="K83" s="194" t="n"/>
      <c r="L83" s="194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90" t="n"/>
      <c r="B84" s="209" t="n"/>
      <c r="C84" s="191" t="n"/>
      <c r="D84" s="190" t="n"/>
      <c r="E84" s="210">
        <f>IFERROR(VLOOKUP(D84,Productos!$A$5:$I$59,3,FALSE),"")</f>
        <v/>
      </c>
      <c r="F84" s="190" t="n"/>
      <c r="G84" s="211">
        <f>IFERROR(VLOOKUP(D84,Productos!$A$5:$I$59,6,FALSE),0)</f>
        <v/>
      </c>
      <c r="H84" s="212">
        <f>IFERROR(F84*G84,0)</f>
        <v/>
      </c>
      <c r="I84" s="213">
        <f>IF(B84="","",MONTH(B84))</f>
        <v/>
      </c>
      <c r="J84" s="213">
        <f>IF(B84="","",YEAR(B84))</f>
        <v/>
      </c>
      <c r="K84" s="191" t="n"/>
      <c r="L84" s="191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93" t="n"/>
      <c r="B85" s="215" t="n"/>
      <c r="C85" s="194" t="n"/>
      <c r="D85" s="193" t="n"/>
      <c r="E85" s="216">
        <f>IFERROR(VLOOKUP(D85,Productos!$A$5:$I$59,3,FALSE),"")</f>
        <v/>
      </c>
      <c r="F85" s="193" t="n"/>
      <c r="G85" s="217">
        <f>IFERROR(VLOOKUP(D85,Productos!$A$5:$I$59,6,FALSE),0)</f>
        <v/>
      </c>
      <c r="H85" s="218">
        <f>IFERROR(F85*G85,0)</f>
        <v/>
      </c>
      <c r="I85" s="219">
        <f>IF(B85="","",MONTH(B85))</f>
        <v/>
      </c>
      <c r="J85" s="219">
        <f>IF(B85="","",YEAR(B85))</f>
        <v/>
      </c>
      <c r="K85" s="194" t="n"/>
      <c r="L85" s="194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90" t="n"/>
      <c r="B86" s="209" t="n"/>
      <c r="C86" s="191" t="n"/>
      <c r="D86" s="190" t="n"/>
      <c r="E86" s="210">
        <f>IFERROR(VLOOKUP(D86,Productos!$A$5:$I$59,3,FALSE),"")</f>
        <v/>
      </c>
      <c r="F86" s="190" t="n"/>
      <c r="G86" s="211">
        <f>IFERROR(VLOOKUP(D86,Productos!$A$5:$I$59,6,FALSE),0)</f>
        <v/>
      </c>
      <c r="H86" s="212">
        <f>IFERROR(F86*G86,0)</f>
        <v/>
      </c>
      <c r="I86" s="213">
        <f>IF(B86="","",MONTH(B86))</f>
        <v/>
      </c>
      <c r="J86" s="213">
        <f>IF(B86="","",YEAR(B86))</f>
        <v/>
      </c>
      <c r="K86" s="191" t="n"/>
      <c r="L86" s="191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93" t="n"/>
      <c r="B87" s="215" t="n"/>
      <c r="C87" s="194" t="n"/>
      <c r="D87" s="193" t="n"/>
      <c r="E87" s="216">
        <f>IFERROR(VLOOKUP(D87,Productos!$A$5:$I$59,3,FALSE),"")</f>
        <v/>
      </c>
      <c r="F87" s="193" t="n"/>
      <c r="G87" s="217">
        <f>IFERROR(VLOOKUP(D87,Productos!$A$5:$I$59,6,FALSE),0)</f>
        <v/>
      </c>
      <c r="H87" s="218">
        <f>IFERROR(F87*G87,0)</f>
        <v/>
      </c>
      <c r="I87" s="219">
        <f>IF(B87="","",MONTH(B87))</f>
        <v/>
      </c>
      <c r="J87" s="219">
        <f>IF(B87="","",YEAR(B87))</f>
        <v/>
      </c>
      <c r="K87" s="194" t="n"/>
      <c r="L87" s="194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90" t="n"/>
      <c r="B88" s="209" t="n"/>
      <c r="C88" s="191" t="n"/>
      <c r="D88" s="190" t="n"/>
      <c r="E88" s="210">
        <f>IFERROR(VLOOKUP(D88,Productos!$A$5:$I$59,3,FALSE),"")</f>
        <v/>
      </c>
      <c r="F88" s="190" t="n"/>
      <c r="G88" s="211">
        <f>IFERROR(VLOOKUP(D88,Productos!$A$5:$I$59,6,FALSE),0)</f>
        <v/>
      </c>
      <c r="H88" s="212">
        <f>IFERROR(F88*G88,0)</f>
        <v/>
      </c>
      <c r="I88" s="213">
        <f>IF(B88="","",MONTH(B88))</f>
        <v/>
      </c>
      <c r="J88" s="213">
        <f>IF(B88="","",YEAR(B88))</f>
        <v/>
      </c>
      <c r="K88" s="191" t="n"/>
      <c r="L88" s="191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93" t="n"/>
      <c r="B89" s="215" t="n"/>
      <c r="C89" s="194" t="n"/>
      <c r="D89" s="193" t="n"/>
      <c r="E89" s="216">
        <f>IFERROR(VLOOKUP(D89,Productos!$A$5:$I$59,3,FALSE),"")</f>
        <v/>
      </c>
      <c r="F89" s="193" t="n"/>
      <c r="G89" s="217">
        <f>IFERROR(VLOOKUP(D89,Productos!$A$5:$I$59,6,FALSE),0)</f>
        <v/>
      </c>
      <c r="H89" s="218">
        <f>IFERROR(F89*G89,0)</f>
        <v/>
      </c>
      <c r="I89" s="219">
        <f>IF(B89="","",MONTH(B89))</f>
        <v/>
      </c>
      <c r="J89" s="219">
        <f>IF(B89="","",YEAR(B89))</f>
        <v/>
      </c>
      <c r="K89" s="194" t="n"/>
      <c r="L89" s="194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96" t="n"/>
      <c r="B90" s="226" t="n"/>
      <c r="C90" s="196" t="n"/>
      <c r="D90" s="196" t="n"/>
      <c r="E90" s="196" t="n"/>
      <c r="F90" s="196" t="n"/>
      <c r="G90" s="196" t="n"/>
      <c r="H90" s="212" t="n"/>
      <c r="I90" s="196" t="n"/>
      <c r="J90" s="196" t="n"/>
      <c r="K90" s="196" t="n"/>
      <c r="L90" s="196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95" t="n"/>
      <c r="B91" s="227" t="n"/>
      <c r="C91" s="195" t="n"/>
      <c r="D91" s="195" t="n"/>
      <c r="E91" s="195" t="n"/>
      <c r="F91" s="195" t="n"/>
      <c r="G91" s="195" t="n"/>
      <c r="H91" s="218" t="n"/>
      <c r="I91" s="195" t="n"/>
      <c r="J91" s="195" t="n"/>
      <c r="K91" s="195" t="n"/>
      <c r="L91" s="195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96" t="n"/>
      <c r="B92" s="226" t="n"/>
      <c r="C92" s="196" t="n"/>
      <c r="D92" s="196" t="n"/>
      <c r="E92" s="196" t="n"/>
      <c r="F92" s="196" t="n"/>
      <c r="G92" s="196" t="n"/>
      <c r="H92" s="212" t="n"/>
      <c r="I92" s="196" t="n"/>
      <c r="J92" s="196" t="n"/>
      <c r="K92" s="196" t="n"/>
      <c r="L92" s="196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95" t="n"/>
      <c r="B93" s="227" t="n"/>
      <c r="C93" s="195" t="n"/>
      <c r="D93" s="195" t="n"/>
      <c r="E93" s="195" t="n"/>
      <c r="F93" s="195" t="n"/>
      <c r="G93" s="195" t="n"/>
      <c r="H93" s="218" t="n"/>
      <c r="I93" s="195" t="n"/>
      <c r="J93" s="195" t="n"/>
      <c r="K93" s="195" t="n"/>
      <c r="L93" s="195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96" t="n"/>
      <c r="B94" s="226" t="n"/>
      <c r="C94" s="196" t="n"/>
      <c r="D94" s="196" t="n"/>
      <c r="E94" s="196" t="n"/>
      <c r="F94" s="196" t="n"/>
      <c r="G94" s="196" t="n"/>
      <c r="H94" s="212" t="n"/>
      <c r="I94" s="196" t="n"/>
      <c r="J94" s="196" t="n"/>
      <c r="K94" s="196" t="n"/>
      <c r="L94" s="196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95" t="n"/>
      <c r="B95" s="227" t="n"/>
      <c r="C95" s="195" t="n"/>
      <c r="D95" s="195" t="n"/>
      <c r="E95" s="195" t="n"/>
      <c r="F95" s="195" t="n"/>
      <c r="G95" s="195" t="n"/>
      <c r="H95" s="218" t="n"/>
      <c r="I95" s="195" t="n"/>
      <c r="J95" s="195" t="n"/>
      <c r="K95" s="195" t="n"/>
      <c r="L95" s="195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96" t="n"/>
      <c r="B96" s="226" t="n"/>
      <c r="C96" s="196" t="n"/>
      <c r="D96" s="196" t="n"/>
      <c r="E96" s="196" t="n"/>
      <c r="F96" s="196" t="n"/>
      <c r="G96" s="196" t="n"/>
      <c r="H96" s="212" t="n"/>
      <c r="I96" s="196" t="n"/>
      <c r="J96" s="196" t="n"/>
      <c r="K96" s="196" t="n"/>
      <c r="L96" s="196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95" t="n"/>
      <c r="B97" s="227" t="n"/>
      <c r="C97" s="195" t="n"/>
      <c r="D97" s="195" t="n"/>
      <c r="E97" s="195" t="n"/>
      <c r="F97" s="195" t="n"/>
      <c r="G97" s="195" t="n"/>
      <c r="H97" s="218" t="n"/>
      <c r="I97" s="195" t="n"/>
      <c r="J97" s="195" t="n"/>
      <c r="K97" s="195" t="n"/>
      <c r="L97" s="195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96" t="n"/>
      <c r="B98" s="226" t="n"/>
      <c r="C98" s="196" t="n"/>
      <c r="D98" s="196" t="n"/>
      <c r="E98" s="196" t="n"/>
      <c r="F98" s="196" t="n"/>
      <c r="G98" s="196" t="n"/>
      <c r="H98" s="212" t="n"/>
      <c r="I98" s="196" t="n"/>
      <c r="J98" s="196" t="n"/>
      <c r="K98" s="196" t="n"/>
      <c r="L98" s="196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95" t="n"/>
      <c r="B99" s="227" t="n"/>
      <c r="C99" s="195" t="n"/>
      <c r="D99" s="195" t="n"/>
      <c r="E99" s="195" t="n"/>
      <c r="F99" s="195" t="n"/>
      <c r="G99" s="195" t="n"/>
      <c r="H99" s="218" t="n"/>
      <c r="I99" s="195" t="n"/>
      <c r="J99" s="195" t="n"/>
      <c r="K99" s="195" t="n"/>
      <c r="L99" s="195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6" t="n"/>
      <c r="B100" s="226" t="n"/>
      <c r="C100" s="196" t="n"/>
      <c r="D100" s="196" t="n"/>
      <c r="E100" s="196" t="n"/>
      <c r="F100" s="196" t="n"/>
      <c r="G100" s="196" t="n"/>
      <c r="H100" s="212" t="n"/>
      <c r="I100" s="196" t="n"/>
      <c r="J100" s="196" t="n"/>
      <c r="K100" s="196" t="n"/>
      <c r="L100" s="196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5" t="n"/>
      <c r="B101" s="227" t="n"/>
      <c r="C101" s="195" t="n"/>
      <c r="D101" s="195" t="n"/>
      <c r="E101" s="195" t="n"/>
      <c r="F101" s="195" t="n"/>
      <c r="G101" s="195" t="n"/>
      <c r="H101" s="218" t="n"/>
      <c r="I101" s="195" t="n"/>
      <c r="J101" s="195" t="n"/>
      <c r="K101" s="195" t="n"/>
      <c r="L101" s="195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6" t="n"/>
      <c r="B102" s="226" t="n"/>
      <c r="C102" s="196" t="n"/>
      <c r="D102" s="196" t="n"/>
      <c r="E102" s="196" t="n"/>
      <c r="F102" s="196" t="n"/>
      <c r="G102" s="196" t="n"/>
      <c r="H102" s="212" t="n"/>
      <c r="I102" s="196" t="n"/>
      <c r="J102" s="196" t="n"/>
      <c r="K102" s="196" t="n"/>
      <c r="L102" s="196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5" t="n"/>
      <c r="B103" s="227" t="n"/>
      <c r="C103" s="195" t="n"/>
      <c r="D103" s="195" t="n"/>
      <c r="E103" s="195" t="n"/>
      <c r="F103" s="195" t="n"/>
      <c r="G103" s="195" t="n"/>
      <c r="H103" s="218" t="n"/>
      <c r="I103" s="195" t="n"/>
      <c r="J103" s="195" t="n"/>
      <c r="K103" s="195" t="n"/>
      <c r="L103" s="195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6" t="n"/>
      <c r="B104" s="226" t="n"/>
      <c r="C104" s="196" t="n"/>
      <c r="D104" s="196" t="n"/>
      <c r="E104" s="196" t="n"/>
      <c r="F104" s="196" t="n"/>
      <c r="G104" s="196" t="n"/>
      <c r="H104" s="212" t="n"/>
      <c r="I104" s="196" t="n"/>
      <c r="J104" s="196" t="n"/>
      <c r="K104" s="196" t="n"/>
      <c r="L104" s="196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5" t="n"/>
      <c r="B105" s="227" t="n"/>
      <c r="C105" s="195" t="n"/>
      <c r="D105" s="195" t="n"/>
      <c r="E105" s="195" t="n"/>
      <c r="F105" s="195" t="n"/>
      <c r="G105" s="195" t="n"/>
      <c r="H105" s="218" t="n"/>
      <c r="I105" s="195" t="n"/>
      <c r="J105" s="195" t="n"/>
      <c r="K105" s="195" t="n"/>
      <c r="L105" s="195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6" t="n"/>
      <c r="B106" s="226" t="n"/>
      <c r="C106" s="196" t="n"/>
      <c r="D106" s="196" t="n"/>
      <c r="E106" s="196" t="n"/>
      <c r="F106" s="196" t="n"/>
      <c r="G106" s="196" t="n"/>
      <c r="H106" s="212" t="n"/>
      <c r="I106" s="196" t="n"/>
      <c r="J106" s="196" t="n"/>
      <c r="K106" s="196" t="n"/>
      <c r="L106" s="196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5" t="n"/>
      <c r="B107" s="227" t="n"/>
      <c r="C107" s="195" t="n"/>
      <c r="D107" s="195" t="n"/>
      <c r="E107" s="195" t="n"/>
      <c r="F107" s="195" t="n"/>
      <c r="G107" s="195" t="n"/>
      <c r="H107" s="218" t="n"/>
      <c r="I107" s="195" t="n"/>
      <c r="J107" s="195" t="n"/>
      <c r="K107" s="195" t="n"/>
      <c r="L107" s="195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10">
    <mergeCell ref="P7:Q7"/>
    <mergeCell ref="N7:O7"/>
    <mergeCell ref="P6:Q6"/>
    <mergeCell ref="N6:O6"/>
    <mergeCell ref="P8:Q8"/>
    <mergeCell ref="N4:Q4"/>
    <mergeCell ref="P5:Q5"/>
    <mergeCell ref="N5:O5"/>
    <mergeCell ref="N8:O8"/>
    <mergeCell ref="A2:P2"/>
  </mergeCells>
  <conditionalFormatting sqref="K8:K107">
    <cfRule type="cellIs" priority="1" operator="equal" dxfId="2">
      <formula>"Pagado"</formula>
    </cfRule>
    <cfRule type="cellIs" priority="2" operator="equal" dxfId="3">
      <formula>"Pendiente"</formula>
    </cfRule>
  </conditionalFormatting>
  <dataValidations count="1">
    <dataValidation sqref="K8:K89" showDropDown="0" showInputMessage="0" showErrorMessage="0" allowBlank="1" type="list">
      <formula1>"Pendiente,Pagado,Parcial"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20B486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1" customWidth="1" style="22" min="1" max="1"/>
    <col width="18" customWidth="1" style="22" min="2" max="3"/>
    <col width="12" customWidth="1" style="22" min="4" max="4"/>
    <col width="14" customWidth="1" style="22" min="5" max="7"/>
  </cols>
  <sheetData>
    <row r="1" ht="6" customHeight="1" s="22">
      <c r="A1" s="132" t="inlineStr">
        <is>
          <t>Orden de compra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📋  ORDEN DE COMPRA</t>
        </is>
      </c>
      <c r="Q2" s="135" t="inlineStr">
        <is>
          <t>Módulo Proveedores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1" t="inlineStr">
        <is>
          <t>[Mi Empresa]</t>
        </is>
      </c>
      <c r="B4" s="1" t="n"/>
      <c r="C4" s="1" t="n"/>
      <c r="D4" s="8" t="inlineStr">
        <is>
          <t>N° ORDEN</t>
        </is>
      </c>
      <c r="E4" s="1" t="n"/>
      <c r="F4" s="12" t="n">
        <v>1</v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1" t="inlineStr">
        <is>
          <t>[Domicilio]</t>
        </is>
      </c>
      <c r="B5" s="1" t="n"/>
      <c r="C5" s="1" t="n"/>
      <c r="D5" s="8" t="inlineStr">
        <is>
          <t>FECHA</t>
        </is>
      </c>
      <c r="E5" s="1" t="n"/>
      <c r="F5" s="153">
        <f>TODAY()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1" t="inlineStr">
        <is>
          <t>[ID Fiscal]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24" t="inlineStr">
        <is>
          <t>ENVIAR A: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8" t="inlineStr">
        <is>
          <t>PROVEEDOR</t>
        </is>
      </c>
      <c r="B10" s="6" t="n"/>
      <c r="C10" s="1" t="n"/>
      <c r="D10" s="8" t="inlineStr">
        <is>
          <t>ENTREGA</t>
        </is>
      </c>
      <c r="E10" s="6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8" t="inlineStr">
        <is>
          <t>DOMICILIO</t>
        </is>
      </c>
      <c r="B11" s="6" t="n"/>
      <c r="C11" s="1" t="n"/>
      <c r="D11" s="8" t="inlineStr">
        <is>
          <t>PLAZO</t>
        </is>
      </c>
      <c r="E11" s="6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8" t="inlineStr">
        <is>
          <t>CIUDAD</t>
        </is>
      </c>
      <c r="B12" s="6" t="n"/>
      <c r="C12" s="1" t="n"/>
      <c r="D12" s="8" t="inlineStr">
        <is>
          <t>PAGO</t>
        </is>
      </c>
      <c r="E12" s="6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8" t="inlineStr">
        <is>
          <t>CONTACTO</t>
        </is>
      </c>
      <c r="B13" s="6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8" t="inlineStr">
        <is>
          <t>TELÉFONO</t>
        </is>
      </c>
      <c r="B14" s="6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8" t="inlineStr">
        <is>
          <t>N°</t>
        </is>
      </c>
      <c r="B17" s="8" t="inlineStr">
        <is>
          <t>ARTÍCULO</t>
        </is>
      </c>
      <c r="C17" s="8" t="inlineStr">
        <is>
          <t>CANTIDAD</t>
        </is>
      </c>
      <c r="D17" s="8" t="inlineStr">
        <is>
          <t>PRECIO UNITARIO</t>
        </is>
      </c>
      <c r="E17" s="8" t="inlineStr">
        <is>
          <t>PRECIO TOTAL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8" t="n">
        <v>1</v>
      </c>
      <c r="B18" s="6" t="n"/>
      <c r="C18" s="5" t="n"/>
      <c r="D18" s="5" t="n"/>
      <c r="E18" s="45">
        <f>IFERROR(C18*D18,0)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8" t="n">
        <v>2</v>
      </c>
      <c r="B19" s="6" t="n"/>
      <c r="C19" s="5" t="n"/>
      <c r="D19" s="5" t="n"/>
      <c r="E19" s="45">
        <f>IFERROR(C19*D19,0)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8" t="n">
        <v>3</v>
      </c>
      <c r="B20" s="6" t="n"/>
      <c r="C20" s="5" t="n"/>
      <c r="D20" s="5" t="n"/>
      <c r="E20" s="45">
        <f>IFERROR(C20*D20,0)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8" t="n">
        <v>4</v>
      </c>
      <c r="B21" s="6" t="n"/>
      <c r="C21" s="5" t="n"/>
      <c r="D21" s="5" t="n"/>
      <c r="E21" s="45">
        <f>IFERROR(C21*D21,0)</f>
        <v/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8" t="n">
        <v>5</v>
      </c>
      <c r="B22" s="6" t="n"/>
      <c r="C22" s="5" t="n"/>
      <c r="D22" s="5" t="n"/>
      <c r="E22" s="45">
        <f>IFERROR(C22*D22,0)</f>
        <v/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8" t="n">
        <v>6</v>
      </c>
      <c r="B23" s="6" t="n"/>
      <c r="C23" s="5" t="n"/>
      <c r="D23" s="5" t="n"/>
      <c r="E23" s="45">
        <f>IFERROR(C23*D23,0)</f>
        <v/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8" t="n">
        <v>7</v>
      </c>
      <c r="B24" s="6" t="n"/>
      <c r="C24" s="5" t="n"/>
      <c r="D24" s="5" t="n"/>
      <c r="E24" s="45">
        <f>IFERROR(C24*D24,0)</f>
        <v/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8" t="n">
        <v>8</v>
      </c>
      <c r="B25" s="6" t="n"/>
      <c r="C25" s="5" t="n"/>
      <c r="D25" s="5" t="n"/>
      <c r="E25" s="45">
        <f>IFERROR(C25*D25,0)</f>
        <v/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8" t="n">
        <v>9</v>
      </c>
      <c r="B26" s="6" t="n"/>
      <c r="C26" s="5" t="n"/>
      <c r="D26" s="5" t="n"/>
      <c r="E26" s="45">
        <f>IFERROR(C26*D26,0)</f>
        <v/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8" t="n">
        <v>10</v>
      </c>
      <c r="B27" s="6" t="n"/>
      <c r="C27" s="5" t="n"/>
      <c r="D27" s="5" t="n"/>
      <c r="E27" s="45">
        <f>IFERROR(C27*D27,0)</f>
        <v/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8" t="n">
        <v>11</v>
      </c>
      <c r="B28" s="6" t="n"/>
      <c r="C28" s="5" t="n"/>
      <c r="D28" s="5" t="n"/>
      <c r="E28" s="45">
        <f>IFERROR(C28*D28,0)</f>
        <v/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8" t="n">
        <v>12</v>
      </c>
      <c r="B29" s="6" t="n"/>
      <c r="C29" s="5" t="n"/>
      <c r="D29" s="5" t="n"/>
      <c r="E29" s="45">
        <f>IFERROR(C29*D29,0)</f>
        <v/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8" t="inlineStr">
        <is>
          <t>SUB-TOTAL</t>
        </is>
      </c>
      <c r="E31" s="45">
        <f>SUM(E18:E29)</f>
        <v/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8" t="inlineStr">
        <is>
          <t>IVA</t>
        </is>
      </c>
      <c r="E32" s="45">
        <f>E31*0.19</f>
        <v/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8" t="inlineStr">
        <is>
          <t>TOTAL</t>
        </is>
      </c>
      <c r="E33" s="45">
        <f>E31+E32</f>
        <v/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0B486"/>
    <outlinePr summaryBelow="1" summaryRight="1"/>
    <pageSetUpPr/>
  </sheetPr>
  <dimension ref="A1:Y12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1"/>
    <col width="28" customWidth="1" style="22" min="2" max="2"/>
    <col width="16" customWidth="1" style="22" min="3" max="3"/>
    <col width="14" customWidth="1" style="22" min="4" max="8"/>
    <col width="18" customWidth="1" style="22" min="9" max="9"/>
    <col width="16" customWidth="1" style="22" min="10" max="12"/>
    <col width="18" customWidth="1" style="22" min="13" max="14"/>
  </cols>
  <sheetData>
    <row r="1" ht="6" customHeight="1" s="22">
      <c r="A1" s="132" t="inlineStr">
        <is>
          <t>Gestión de inventario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</row>
    <row r="2" ht="32" customHeight="1" s="22">
      <c r="A2" s="134" t="inlineStr">
        <is>
          <t>🗄️  CONTROL DE INVENTARIO</t>
        </is>
      </c>
      <c r="Q2" s="135" t="inlineStr">
        <is>
          <t>Módulo Stock</t>
        </is>
      </c>
      <c r="U2" s="1" t="n"/>
      <c r="V2" s="1" t="n"/>
      <c r="W2" s="1" t="n"/>
      <c r="X2" s="1" t="n"/>
      <c r="Y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201">
        <f>SUM(L8:L58)</f>
        <v/>
      </c>
      <c r="N3" s="155">
        <f>COUNTIF(N8:N58,1)</f>
        <v/>
      </c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</row>
    <row r="4">
      <c r="A4" s="24" t="inlineStr">
        <is>
          <t>Control de stock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8" t="inlineStr">
        <is>
          <t>CÓDIGO</t>
        </is>
      </c>
      <c r="B7" s="8" t="inlineStr">
        <is>
          <t>PRODUCTO</t>
        </is>
      </c>
      <c r="C7" s="8" t="inlineStr">
        <is>
          <t>UNIDAD</t>
        </is>
      </c>
      <c r="D7" s="8" t="inlineStr">
        <is>
          <t>STOCK INICIAL</t>
        </is>
      </c>
      <c r="E7" s="8" t="inlineStr">
        <is>
          <t>ENTRADAS</t>
        </is>
      </c>
      <c r="F7" s="8" t="inlineStr">
        <is>
          <t>SALIDAS</t>
        </is>
      </c>
      <c r="G7" s="8" t="inlineStr">
        <is>
          <t>STOCK ACTUAL</t>
        </is>
      </c>
      <c r="H7" s="8" t="inlineStr">
        <is>
          <t>STOCK MÍNIMO</t>
        </is>
      </c>
      <c r="I7" s="8" t="inlineStr">
        <is>
          <t>ALERTA</t>
        </is>
      </c>
      <c r="J7" s="8" t="inlineStr">
        <is>
          <t>PRECIO COMPRA</t>
        </is>
      </c>
      <c r="K7" s="8" t="inlineStr">
        <is>
          <t>PRECIO VENTA</t>
        </is>
      </c>
      <c r="L7" s="8" t="inlineStr">
        <is>
          <t>VALOR COSTO</t>
        </is>
      </c>
      <c r="M7" s="8" t="inlineStr">
        <is>
          <t>VALOR VENTA</t>
        </is>
      </c>
      <c r="N7" s="8" t="inlineStr">
        <is>
          <t>BAJO MÍNIMO</t>
        </is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229" t="inlineStr">
        <is>
          <t>PR001</t>
        </is>
      </c>
      <c r="B8" s="230" t="n"/>
      <c r="C8" s="230" t="n"/>
      <c r="D8" s="229" t="n"/>
      <c r="E8" s="231">
        <f>IF(A8="","",SUMIFS(Compras!$F:$F,Compras!$D:$D,A8))</f>
        <v/>
      </c>
      <c r="F8" s="231">
        <f>IF(A8="","",SUMIFS(Ventas!$F:$F,Ventas!$D:$D,A8))</f>
        <v/>
      </c>
      <c r="G8" s="231">
        <f>IF(A8="","",D8+E8-F8)</f>
        <v/>
      </c>
      <c r="H8" s="231">
        <f>IFERROR(VLOOKUP(A8,Productos!$A$5:$I$59,7,FALSE),0)</f>
        <v/>
      </c>
      <c r="I8" s="230">
        <f>IF(A8="","",IF(G8&lt;=H8,"Reponer","Suficiente"))</f>
        <v/>
      </c>
      <c r="J8" s="225">
        <f>IFERROR(VLOOKUP(A8,Productos!$A$5:$I$59,6,FALSE),0)</f>
        <v/>
      </c>
      <c r="K8" s="225">
        <f>IFERROR(VLOOKUP(A8,Productos!$A$5:$I$59,5,FALSE),0)</f>
        <v/>
      </c>
      <c r="L8" s="225">
        <f>IF(A8="","",G8*J8)</f>
        <v/>
      </c>
      <c r="M8" s="225">
        <f>IF(A8="","",G8*K8)</f>
        <v/>
      </c>
      <c r="N8" s="231">
        <f>IF(A8="","",IF(G8&lt;=H8,1,0))</f>
        <v/>
      </c>
      <c r="O8" s="192" t="n"/>
      <c r="P8" s="192" t="inlineStr">
        <is>
          <t>Reponer</t>
        </is>
      </c>
      <c r="Q8" s="192">
        <f>COUNTIF(I8:I58,"Reponer")</f>
        <v/>
      </c>
      <c r="R8" s="192" t="n"/>
      <c r="S8" s="192" t="n"/>
      <c r="T8" s="1" t="n"/>
      <c r="U8" s="1" t="n"/>
      <c r="V8" s="1" t="n"/>
      <c r="W8" s="1" t="n"/>
      <c r="X8" s="1" t="n"/>
      <c r="Y8" s="1" t="n"/>
    </row>
    <row r="9">
      <c r="A9" s="229" t="inlineStr">
        <is>
          <t>PR002</t>
        </is>
      </c>
      <c r="B9" s="230" t="n"/>
      <c r="C9" s="230" t="n"/>
      <c r="D9" s="229" t="n"/>
      <c r="E9" s="231">
        <f>IF(A9="","",SUMIFS(Compras!$F:$F,Compras!$D:$D,A9))</f>
        <v/>
      </c>
      <c r="F9" s="231">
        <f>IF(A9="","",SUMIFS(Ventas!$F:$F,Ventas!$D:$D,A9))</f>
        <v/>
      </c>
      <c r="G9" s="231">
        <f>IF(A9="","",D9+E9-F9)</f>
        <v/>
      </c>
      <c r="H9" s="231">
        <f>IFERROR(VLOOKUP(A9,Productos!$A$5:$I$59,7,FALSE),0)</f>
        <v/>
      </c>
      <c r="I9" s="230">
        <f>IF(A9="","",IF(G9&lt;=H9,"Reponer","Suficiente"))</f>
        <v/>
      </c>
      <c r="J9" s="225">
        <f>IFERROR(VLOOKUP(A9,Productos!$A$5:$I$59,6,FALSE),0)</f>
        <v/>
      </c>
      <c r="K9" s="225">
        <f>IFERROR(VLOOKUP(A9,Productos!$A$5:$I$59,5,FALSE),0)</f>
        <v/>
      </c>
      <c r="L9" s="225">
        <f>IF(A9="","",G9*J9)</f>
        <v/>
      </c>
      <c r="M9" s="225">
        <f>IF(A9="","",G9*K9)</f>
        <v/>
      </c>
      <c r="N9" s="231">
        <f>IF(A9="","",IF(G9&lt;=H9,1,0))</f>
        <v/>
      </c>
      <c r="O9" s="192" t="n"/>
      <c r="P9" s="192" t="inlineStr">
        <is>
          <t>Suficiente</t>
        </is>
      </c>
      <c r="Q9" s="192">
        <f>COUNTIF(I8:I58,"Suficiente")</f>
        <v/>
      </c>
      <c r="R9" s="192" t="n"/>
      <c r="S9" s="192" t="n"/>
      <c r="T9" s="1" t="n"/>
      <c r="U9" s="1" t="n"/>
      <c r="V9" s="1" t="n"/>
      <c r="W9" s="1" t="n"/>
      <c r="X9" s="1" t="n"/>
      <c r="Y9" s="1" t="n"/>
    </row>
    <row r="10">
      <c r="A10" s="229" t="inlineStr">
        <is>
          <t>PR003</t>
        </is>
      </c>
      <c r="B10" s="230" t="n"/>
      <c r="C10" s="230" t="n"/>
      <c r="D10" s="229" t="n"/>
      <c r="E10" s="231">
        <f>IF(A10="","",SUMIFS(Compras!$F:$F,Compras!$D:$D,A10))</f>
        <v/>
      </c>
      <c r="F10" s="231">
        <f>IF(A10="","",SUMIFS(Ventas!$F:$F,Ventas!$D:$D,A10))</f>
        <v/>
      </c>
      <c r="G10" s="231">
        <f>IF(A10="","",D10+E10-F10)</f>
        <v/>
      </c>
      <c r="H10" s="231">
        <f>IFERROR(VLOOKUP(A10,Productos!$A$5:$I$59,7,FALSE),0)</f>
        <v/>
      </c>
      <c r="I10" s="230">
        <f>IF(A10="","",IF(G10&lt;=H10,"Reponer","Suficiente"))</f>
        <v/>
      </c>
      <c r="J10" s="225">
        <f>IFERROR(VLOOKUP(A10,Productos!$A$5:$I$59,6,FALSE),0)</f>
        <v/>
      </c>
      <c r="K10" s="225">
        <f>IFERROR(VLOOKUP(A10,Productos!$A$5:$I$59,5,FALSE),0)</f>
        <v/>
      </c>
      <c r="L10" s="225">
        <f>IF(A10="","",G10*J10)</f>
        <v/>
      </c>
      <c r="M10" s="225">
        <f>IF(A10="","",G10*K10)</f>
        <v/>
      </c>
      <c r="N10" s="231">
        <f>IF(A10="","",IF(G10&lt;=H10,1,0))</f>
        <v/>
      </c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</row>
    <row r="11">
      <c r="A11" s="229" t="inlineStr">
        <is>
          <t>PR004</t>
        </is>
      </c>
      <c r="B11" s="230" t="n"/>
      <c r="C11" s="230" t="n"/>
      <c r="D11" s="229" t="n"/>
      <c r="E11" s="231">
        <f>IF(A11="","",SUMIFS(Compras!$F:$F,Compras!$D:$D,A11))</f>
        <v/>
      </c>
      <c r="F11" s="231">
        <f>IF(A11="","",SUMIFS(Ventas!$F:$F,Ventas!$D:$D,A11))</f>
        <v/>
      </c>
      <c r="G11" s="231">
        <f>IF(A11="","",D11+E11-F11)</f>
        <v/>
      </c>
      <c r="H11" s="231">
        <f>IFERROR(VLOOKUP(A11,Productos!$A$5:$I$59,7,FALSE),0)</f>
        <v/>
      </c>
      <c r="I11" s="230">
        <f>IF(A11="","",IF(G11&lt;=H11,"Reponer","Suficiente"))</f>
        <v/>
      </c>
      <c r="J11" s="225">
        <f>IFERROR(VLOOKUP(A11,Productos!$A$5:$I$59,6,FALSE),0)</f>
        <v/>
      </c>
      <c r="K11" s="225">
        <f>IFERROR(VLOOKUP(A11,Productos!$A$5:$I$59,5,FALSE),0)</f>
        <v/>
      </c>
      <c r="L11" s="225">
        <f>IF(A11="","",G11*J11)</f>
        <v/>
      </c>
      <c r="M11" s="225">
        <f>IF(A11="","",G11*K11)</f>
        <v/>
      </c>
      <c r="N11" s="231">
        <f>IF(A11="","",IF(G11&lt;=H11,1,0))</f>
        <v/>
      </c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</row>
    <row r="12">
      <c r="A12" s="229" t="n"/>
      <c r="B12" s="230" t="n"/>
      <c r="C12" s="230" t="n"/>
      <c r="D12" s="229" t="n"/>
      <c r="E12" s="231">
        <f>IF(A12="","",SUMIFS(Compras!$F:$F,Compras!$D:$D,A12))</f>
        <v/>
      </c>
      <c r="F12" s="231">
        <f>IF(A12="","",SUMIFS(Ventas!$F:$F,Ventas!$D:$D,A12))</f>
        <v/>
      </c>
      <c r="G12" s="231">
        <f>IF(A12="","",D12+E12-F12)</f>
        <v/>
      </c>
      <c r="H12" s="231">
        <f>IFERROR(VLOOKUP(A12,Productos!$A$5:$I$59,7,FALSE),0)</f>
        <v/>
      </c>
      <c r="I12" s="230">
        <f>IF(A12="","",IF(G12&lt;=H12,"Reponer","Suficiente"))</f>
        <v/>
      </c>
      <c r="J12" s="225">
        <f>IFERROR(VLOOKUP(A12,Productos!$A$5:$I$59,6,FALSE),0)</f>
        <v/>
      </c>
      <c r="K12" s="225">
        <f>IFERROR(VLOOKUP(A12,Productos!$A$5:$I$59,5,FALSE),0)</f>
        <v/>
      </c>
      <c r="L12" s="225">
        <f>IF(A12="","",G12*J12)</f>
        <v/>
      </c>
      <c r="M12" s="225">
        <f>IF(A12="","",G12*K12)</f>
        <v/>
      </c>
      <c r="N12" s="231">
        <f>IF(A12="","",IF(G12&lt;=H12,1,0))</f>
        <v/>
      </c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</row>
    <row r="13">
      <c r="A13" s="229" t="n"/>
      <c r="B13" s="230" t="n"/>
      <c r="C13" s="230" t="n"/>
      <c r="D13" s="229" t="n"/>
      <c r="E13" s="231">
        <f>IF(A13="","",SUMIFS(Compras!$F:$F,Compras!$D:$D,A13))</f>
        <v/>
      </c>
      <c r="F13" s="231">
        <f>IF(A13="","",SUMIFS(Ventas!$F:$F,Ventas!$D:$D,A13))</f>
        <v/>
      </c>
      <c r="G13" s="231">
        <f>IF(A13="","",D13+E13-F13)</f>
        <v/>
      </c>
      <c r="H13" s="231">
        <f>IFERROR(VLOOKUP(A13,Productos!$A$5:$I$59,7,FALSE),0)</f>
        <v/>
      </c>
      <c r="I13" s="230">
        <f>IF(A13="","",IF(G13&lt;=H13,"Reponer","Suficiente"))</f>
        <v/>
      </c>
      <c r="J13" s="225">
        <f>IFERROR(VLOOKUP(A13,Productos!$A$5:$I$59,6,FALSE),0)</f>
        <v/>
      </c>
      <c r="K13" s="225">
        <f>IFERROR(VLOOKUP(A13,Productos!$A$5:$I$59,5,FALSE),0)</f>
        <v/>
      </c>
      <c r="L13" s="225">
        <f>IF(A13="","",G13*J13)</f>
        <v/>
      </c>
      <c r="M13" s="225">
        <f>IF(A13="","",G13*K13)</f>
        <v/>
      </c>
      <c r="N13" s="231">
        <f>IF(A13="","",IF(G13&lt;=H13,1,0))</f>
        <v/>
      </c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</row>
    <row r="14">
      <c r="A14" s="229" t="n"/>
      <c r="B14" s="230" t="n"/>
      <c r="C14" s="230" t="n"/>
      <c r="D14" s="229" t="n"/>
      <c r="E14" s="231">
        <f>IF(A14="","",SUMIFS(Compras!$F:$F,Compras!$D:$D,A14))</f>
        <v/>
      </c>
      <c r="F14" s="231">
        <f>IF(A14="","",SUMIFS(Ventas!$F:$F,Ventas!$D:$D,A14))</f>
        <v/>
      </c>
      <c r="G14" s="231">
        <f>IF(A14="","",D14+E14-F14)</f>
        <v/>
      </c>
      <c r="H14" s="231">
        <f>IFERROR(VLOOKUP(A14,Productos!$A$5:$I$59,7,FALSE),0)</f>
        <v/>
      </c>
      <c r="I14" s="230">
        <f>IF(A14="","",IF(G14&lt;=H14,"Reponer","Suficiente"))</f>
        <v/>
      </c>
      <c r="J14" s="225">
        <f>IFERROR(VLOOKUP(A14,Productos!$A$5:$I$59,6,FALSE),0)</f>
        <v/>
      </c>
      <c r="K14" s="225">
        <f>IFERROR(VLOOKUP(A14,Productos!$A$5:$I$59,5,FALSE),0)</f>
        <v/>
      </c>
      <c r="L14" s="225">
        <f>IF(A14="","",G14*J14)</f>
        <v/>
      </c>
      <c r="M14" s="225">
        <f>IF(A14="","",G14*K14)</f>
        <v/>
      </c>
      <c r="N14" s="231">
        <f>IF(A14="","",IF(G14&lt;=H14,1,0))</f>
        <v/>
      </c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</row>
    <row r="15">
      <c r="A15" s="229" t="n"/>
      <c r="B15" s="230" t="n"/>
      <c r="C15" s="230" t="n"/>
      <c r="D15" s="229" t="n"/>
      <c r="E15" s="231">
        <f>IF(A15="","",SUMIFS(Compras!$F:$F,Compras!$D:$D,A15))</f>
        <v/>
      </c>
      <c r="F15" s="231">
        <f>IF(A15="","",SUMIFS(Ventas!$F:$F,Ventas!$D:$D,A15))</f>
        <v/>
      </c>
      <c r="G15" s="231">
        <f>IF(A15="","",D15+E15-F15)</f>
        <v/>
      </c>
      <c r="H15" s="231">
        <f>IFERROR(VLOOKUP(A15,Productos!$A$5:$I$59,7,FALSE),0)</f>
        <v/>
      </c>
      <c r="I15" s="230">
        <f>IF(A15="","",IF(G15&lt;=H15,"Reponer","Suficiente"))</f>
        <v/>
      </c>
      <c r="J15" s="225">
        <f>IFERROR(VLOOKUP(A15,Productos!$A$5:$I$59,6,FALSE),0)</f>
        <v/>
      </c>
      <c r="K15" s="225">
        <f>IFERROR(VLOOKUP(A15,Productos!$A$5:$I$59,5,FALSE),0)</f>
        <v/>
      </c>
      <c r="L15" s="225">
        <f>IF(A15="","",G15*J15)</f>
        <v/>
      </c>
      <c r="M15" s="225">
        <f>IF(A15="","",G15*K15)</f>
        <v/>
      </c>
      <c r="N15" s="231">
        <f>IF(A15="","",IF(G15&lt;=H15,1,0))</f>
        <v/>
      </c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</row>
    <row r="16">
      <c r="A16" s="229" t="n"/>
      <c r="B16" s="230" t="n"/>
      <c r="C16" s="230" t="n"/>
      <c r="D16" s="229" t="n"/>
      <c r="E16" s="231">
        <f>IF(A16="","",SUMIFS(Compras!$F:$F,Compras!$D:$D,A16))</f>
        <v/>
      </c>
      <c r="F16" s="231">
        <f>IF(A16="","",SUMIFS(Ventas!$F:$F,Ventas!$D:$D,A16))</f>
        <v/>
      </c>
      <c r="G16" s="231">
        <f>IF(A16="","",D16+E16-F16)</f>
        <v/>
      </c>
      <c r="H16" s="231">
        <f>IFERROR(VLOOKUP(A16,Productos!$A$5:$I$59,7,FALSE),0)</f>
        <v/>
      </c>
      <c r="I16" s="230">
        <f>IF(A16="","",IF(G16&lt;=H16,"Reponer","Suficiente"))</f>
        <v/>
      </c>
      <c r="J16" s="225">
        <f>IFERROR(VLOOKUP(A16,Productos!$A$5:$I$59,6,FALSE),0)</f>
        <v/>
      </c>
      <c r="K16" s="225">
        <f>IFERROR(VLOOKUP(A16,Productos!$A$5:$I$59,5,FALSE),0)</f>
        <v/>
      </c>
      <c r="L16" s="225">
        <f>IF(A16="","",G16*J16)</f>
        <v/>
      </c>
      <c r="M16" s="225">
        <f>IF(A16="","",G16*K16)</f>
        <v/>
      </c>
      <c r="N16" s="231">
        <f>IF(A16="","",IF(G16&lt;=H16,1,0))</f>
        <v/>
      </c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</row>
    <row r="17">
      <c r="A17" s="229" t="n"/>
      <c r="B17" s="230" t="n"/>
      <c r="C17" s="230" t="n"/>
      <c r="D17" s="229" t="n"/>
      <c r="E17" s="231">
        <f>IF(A17="","",SUMIFS(Compras!$F:$F,Compras!$D:$D,A17))</f>
        <v/>
      </c>
      <c r="F17" s="231">
        <f>IF(A17="","",SUMIFS(Ventas!$F:$F,Ventas!$D:$D,A17))</f>
        <v/>
      </c>
      <c r="G17" s="231">
        <f>IF(A17="","",D17+E17-F17)</f>
        <v/>
      </c>
      <c r="H17" s="231">
        <f>IFERROR(VLOOKUP(A17,Productos!$A$5:$I$59,7,FALSE),0)</f>
        <v/>
      </c>
      <c r="I17" s="230">
        <f>IF(A17="","",IF(G17&lt;=H17,"Reponer","Suficiente"))</f>
        <v/>
      </c>
      <c r="J17" s="225">
        <f>IFERROR(VLOOKUP(A17,Productos!$A$5:$I$59,6,FALSE),0)</f>
        <v/>
      </c>
      <c r="K17" s="225">
        <f>IFERROR(VLOOKUP(A17,Productos!$A$5:$I$59,5,FALSE),0)</f>
        <v/>
      </c>
      <c r="L17" s="225">
        <f>IF(A17="","",G17*J17)</f>
        <v/>
      </c>
      <c r="M17" s="225">
        <f>IF(A17="","",G17*K17)</f>
        <v/>
      </c>
      <c r="N17" s="231">
        <f>IF(A17="","",IF(G17&lt;=H17,1,0))</f>
        <v/>
      </c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</row>
    <row r="18">
      <c r="A18" s="229" t="n"/>
      <c r="B18" s="230" t="n"/>
      <c r="C18" s="230" t="n"/>
      <c r="D18" s="229" t="n"/>
      <c r="E18" s="231">
        <f>IF(A18="","",SUMIFS(Compras!$F:$F,Compras!$D:$D,A18))</f>
        <v/>
      </c>
      <c r="F18" s="231">
        <f>IF(A18="","",SUMIFS(Ventas!$F:$F,Ventas!$D:$D,A18))</f>
        <v/>
      </c>
      <c r="G18" s="231">
        <f>IF(A18="","",D18+E18-F18)</f>
        <v/>
      </c>
      <c r="H18" s="231">
        <f>IFERROR(VLOOKUP(A18,Productos!$A$5:$I$59,7,FALSE),0)</f>
        <v/>
      </c>
      <c r="I18" s="230">
        <f>IF(A18="","",IF(G18&lt;=H18,"Reponer","Suficiente"))</f>
        <v/>
      </c>
      <c r="J18" s="225">
        <f>IFERROR(VLOOKUP(A18,Productos!$A$5:$I$59,6,FALSE),0)</f>
        <v/>
      </c>
      <c r="K18" s="225">
        <f>IFERROR(VLOOKUP(A18,Productos!$A$5:$I$59,5,FALSE),0)</f>
        <v/>
      </c>
      <c r="L18" s="225">
        <f>IF(A18="","",G18*J18)</f>
        <v/>
      </c>
      <c r="M18" s="225">
        <f>IF(A18="","",G18*K18)</f>
        <v/>
      </c>
      <c r="N18" s="231">
        <f>IF(A18="","",IF(G18&lt;=H18,1,0))</f>
        <v/>
      </c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</row>
    <row r="19">
      <c r="A19" s="229" t="n"/>
      <c r="B19" s="230" t="n"/>
      <c r="C19" s="230" t="n"/>
      <c r="D19" s="229" t="n"/>
      <c r="E19" s="231">
        <f>IF(A19="","",SUMIFS(Compras!$F:$F,Compras!$D:$D,A19))</f>
        <v/>
      </c>
      <c r="F19" s="231">
        <f>IF(A19="","",SUMIFS(Ventas!$F:$F,Ventas!$D:$D,A19))</f>
        <v/>
      </c>
      <c r="G19" s="231">
        <f>IF(A19="","",D19+E19-F19)</f>
        <v/>
      </c>
      <c r="H19" s="231">
        <f>IFERROR(VLOOKUP(A19,Productos!$A$5:$I$59,7,FALSE),0)</f>
        <v/>
      </c>
      <c r="I19" s="230">
        <f>IF(A19="","",IF(G19&lt;=H19,"Reponer","Suficiente"))</f>
        <v/>
      </c>
      <c r="J19" s="225">
        <f>IFERROR(VLOOKUP(A19,Productos!$A$5:$I$59,6,FALSE),0)</f>
        <v/>
      </c>
      <c r="K19" s="225">
        <f>IFERROR(VLOOKUP(A19,Productos!$A$5:$I$59,5,FALSE),0)</f>
        <v/>
      </c>
      <c r="L19" s="225">
        <f>IF(A19="","",G19*J19)</f>
        <v/>
      </c>
      <c r="M19" s="225">
        <f>IF(A19="","",G19*K19)</f>
        <v/>
      </c>
      <c r="N19" s="231">
        <f>IF(A19="","",IF(G19&lt;=H19,1,0))</f>
        <v/>
      </c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</row>
    <row r="20">
      <c r="A20" s="229" t="n"/>
      <c r="B20" s="230" t="n"/>
      <c r="C20" s="230" t="n"/>
      <c r="D20" s="229" t="n"/>
      <c r="E20" s="231">
        <f>IF(A20="","",SUMIFS(Compras!$F:$F,Compras!$D:$D,A20))</f>
        <v/>
      </c>
      <c r="F20" s="231">
        <f>IF(A20="","",SUMIFS(Ventas!$F:$F,Ventas!$D:$D,A20))</f>
        <v/>
      </c>
      <c r="G20" s="231">
        <f>IF(A20="","",D20+E20-F20)</f>
        <v/>
      </c>
      <c r="H20" s="231">
        <f>IFERROR(VLOOKUP(A20,Productos!$A$5:$I$59,7,FALSE),0)</f>
        <v/>
      </c>
      <c r="I20" s="230">
        <f>IF(A20="","",IF(G20&lt;=H20,"Reponer","Suficiente"))</f>
        <v/>
      </c>
      <c r="J20" s="225">
        <f>IFERROR(VLOOKUP(A20,Productos!$A$5:$I$59,6,FALSE),0)</f>
        <v/>
      </c>
      <c r="K20" s="225">
        <f>IFERROR(VLOOKUP(A20,Productos!$A$5:$I$59,5,FALSE),0)</f>
        <v/>
      </c>
      <c r="L20" s="225">
        <f>IF(A20="","",G20*J20)</f>
        <v/>
      </c>
      <c r="M20" s="225">
        <f>IF(A20="","",G20*K20)</f>
        <v/>
      </c>
      <c r="N20" s="231">
        <f>IF(A20="","",IF(G20&lt;=H20,1,0))</f>
        <v/>
      </c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</row>
    <row r="21">
      <c r="A21" s="229" t="n"/>
      <c r="B21" s="230" t="n"/>
      <c r="C21" s="230" t="n"/>
      <c r="D21" s="229" t="n"/>
      <c r="E21" s="231">
        <f>IF(A21="","",SUMIFS(Compras!$F:$F,Compras!$D:$D,A21))</f>
        <v/>
      </c>
      <c r="F21" s="231">
        <f>IF(A21="","",SUMIFS(Ventas!$F:$F,Ventas!$D:$D,A21))</f>
        <v/>
      </c>
      <c r="G21" s="231">
        <f>IF(A21="","",D21+E21-F21)</f>
        <v/>
      </c>
      <c r="H21" s="231">
        <f>IFERROR(VLOOKUP(A21,Productos!$A$5:$I$59,7,FALSE),0)</f>
        <v/>
      </c>
      <c r="I21" s="230">
        <f>IF(A21="","",IF(G21&lt;=H21,"Reponer","Suficiente"))</f>
        <v/>
      </c>
      <c r="J21" s="225">
        <f>IFERROR(VLOOKUP(A21,Productos!$A$5:$I$59,6,FALSE),0)</f>
        <v/>
      </c>
      <c r="K21" s="225">
        <f>IFERROR(VLOOKUP(A21,Productos!$A$5:$I$59,5,FALSE),0)</f>
        <v/>
      </c>
      <c r="L21" s="225">
        <f>IF(A21="","",G21*J21)</f>
        <v/>
      </c>
      <c r="M21" s="225">
        <f>IF(A21="","",G21*K21)</f>
        <v/>
      </c>
      <c r="N21" s="231">
        <f>IF(A21="","",IF(G21&lt;=H21,1,0))</f>
        <v/>
      </c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</row>
    <row r="22">
      <c r="A22" s="229" t="n"/>
      <c r="B22" s="230" t="n"/>
      <c r="C22" s="230" t="n"/>
      <c r="D22" s="229" t="n"/>
      <c r="E22" s="231">
        <f>IF(A22="","",SUMIFS(Compras!$F:$F,Compras!$D:$D,A22))</f>
        <v/>
      </c>
      <c r="F22" s="231">
        <f>IF(A22="","",SUMIFS(Ventas!$F:$F,Ventas!$D:$D,A22))</f>
        <v/>
      </c>
      <c r="G22" s="231">
        <f>IF(A22="","",D22+E22-F22)</f>
        <v/>
      </c>
      <c r="H22" s="231">
        <f>IFERROR(VLOOKUP(A22,Productos!$A$5:$I$59,7,FALSE),0)</f>
        <v/>
      </c>
      <c r="I22" s="230">
        <f>IF(A22="","",IF(G22&lt;=H22,"Reponer","Suficiente"))</f>
        <v/>
      </c>
      <c r="J22" s="225">
        <f>IFERROR(VLOOKUP(A22,Productos!$A$5:$I$59,6,FALSE),0)</f>
        <v/>
      </c>
      <c r="K22" s="225">
        <f>IFERROR(VLOOKUP(A22,Productos!$A$5:$I$59,5,FALSE),0)</f>
        <v/>
      </c>
      <c r="L22" s="225">
        <f>IF(A22="","",G22*J22)</f>
        <v/>
      </c>
      <c r="M22" s="225">
        <f>IF(A22="","",G22*K22)</f>
        <v/>
      </c>
      <c r="N22" s="231">
        <f>IF(A22="","",IF(G22&lt;=H22,1,0))</f>
        <v/>
      </c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</row>
    <row r="23">
      <c r="A23" s="229" t="n"/>
      <c r="B23" s="230" t="n"/>
      <c r="C23" s="230" t="n"/>
      <c r="D23" s="229" t="n"/>
      <c r="E23" s="231">
        <f>IF(A23="","",SUMIFS(Compras!$F:$F,Compras!$D:$D,A23))</f>
        <v/>
      </c>
      <c r="F23" s="231">
        <f>IF(A23="","",SUMIFS(Ventas!$F:$F,Ventas!$D:$D,A23))</f>
        <v/>
      </c>
      <c r="G23" s="231">
        <f>IF(A23="","",D23+E23-F23)</f>
        <v/>
      </c>
      <c r="H23" s="231">
        <f>IFERROR(VLOOKUP(A23,Productos!$A$5:$I$59,7,FALSE),0)</f>
        <v/>
      </c>
      <c r="I23" s="230">
        <f>IF(A23="","",IF(G23&lt;=H23,"Reponer","Suficiente"))</f>
        <v/>
      </c>
      <c r="J23" s="225">
        <f>IFERROR(VLOOKUP(A23,Productos!$A$5:$I$59,6,FALSE),0)</f>
        <v/>
      </c>
      <c r="K23" s="225">
        <f>IFERROR(VLOOKUP(A23,Productos!$A$5:$I$59,5,FALSE),0)</f>
        <v/>
      </c>
      <c r="L23" s="225">
        <f>IF(A23="","",G23*J23)</f>
        <v/>
      </c>
      <c r="M23" s="225">
        <f>IF(A23="","",G23*K23)</f>
        <v/>
      </c>
      <c r="N23" s="231">
        <f>IF(A23="","",IF(G23&lt;=H23,1,0))</f>
        <v/>
      </c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</row>
    <row r="24">
      <c r="A24" s="229" t="n"/>
      <c r="B24" s="230" t="n"/>
      <c r="C24" s="230" t="n"/>
      <c r="D24" s="229" t="n"/>
      <c r="E24" s="231">
        <f>IF(A24="","",SUMIFS(Compras!$F:$F,Compras!$D:$D,A24))</f>
        <v/>
      </c>
      <c r="F24" s="231">
        <f>IF(A24="","",SUMIFS(Ventas!$F:$F,Ventas!$D:$D,A24))</f>
        <v/>
      </c>
      <c r="G24" s="231">
        <f>IF(A24="","",D24+E24-F24)</f>
        <v/>
      </c>
      <c r="H24" s="231">
        <f>IFERROR(VLOOKUP(A24,Productos!$A$5:$I$59,7,FALSE),0)</f>
        <v/>
      </c>
      <c r="I24" s="230">
        <f>IF(A24="","",IF(G24&lt;=H24,"Reponer","Suficiente"))</f>
        <v/>
      </c>
      <c r="J24" s="225">
        <f>IFERROR(VLOOKUP(A24,Productos!$A$5:$I$59,6,FALSE),0)</f>
        <v/>
      </c>
      <c r="K24" s="225">
        <f>IFERROR(VLOOKUP(A24,Productos!$A$5:$I$59,5,FALSE),0)</f>
        <v/>
      </c>
      <c r="L24" s="225">
        <f>IF(A24="","",G24*J24)</f>
        <v/>
      </c>
      <c r="M24" s="225">
        <f>IF(A24="","",G24*K24)</f>
        <v/>
      </c>
      <c r="N24" s="231">
        <f>IF(A24="","",IF(G24&lt;=H24,1,0))</f>
        <v/>
      </c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</row>
    <row r="25">
      <c r="A25" s="229" t="n"/>
      <c r="B25" s="230" t="n"/>
      <c r="C25" s="230" t="n"/>
      <c r="D25" s="229" t="n"/>
      <c r="E25" s="231">
        <f>IF(A25="","",SUMIFS(Compras!$F:$F,Compras!$D:$D,A25))</f>
        <v/>
      </c>
      <c r="F25" s="231">
        <f>IF(A25="","",SUMIFS(Ventas!$F:$F,Ventas!$D:$D,A25))</f>
        <v/>
      </c>
      <c r="G25" s="231">
        <f>IF(A25="","",D25+E25-F25)</f>
        <v/>
      </c>
      <c r="H25" s="231">
        <f>IFERROR(VLOOKUP(A25,Productos!$A$5:$I$59,7,FALSE),0)</f>
        <v/>
      </c>
      <c r="I25" s="230">
        <f>IF(A25="","",IF(G25&lt;=H25,"Reponer","Suficiente"))</f>
        <v/>
      </c>
      <c r="J25" s="225">
        <f>IFERROR(VLOOKUP(A25,Productos!$A$5:$I$59,6,FALSE),0)</f>
        <v/>
      </c>
      <c r="K25" s="225">
        <f>IFERROR(VLOOKUP(A25,Productos!$A$5:$I$59,5,FALSE),0)</f>
        <v/>
      </c>
      <c r="L25" s="225">
        <f>IF(A25="","",G25*J25)</f>
        <v/>
      </c>
      <c r="M25" s="225">
        <f>IF(A25="","",G25*K25)</f>
        <v/>
      </c>
      <c r="N25" s="231">
        <f>IF(A25="","",IF(G25&lt;=H25,1,0))</f>
        <v/>
      </c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</row>
    <row r="26">
      <c r="A26" s="229" t="n"/>
      <c r="B26" s="230" t="n"/>
      <c r="C26" s="230" t="n"/>
      <c r="D26" s="229" t="n"/>
      <c r="E26" s="231">
        <f>IF(A26="","",SUMIFS(Compras!$F:$F,Compras!$D:$D,A26))</f>
        <v/>
      </c>
      <c r="F26" s="231">
        <f>IF(A26="","",SUMIFS(Ventas!$F:$F,Ventas!$D:$D,A26))</f>
        <v/>
      </c>
      <c r="G26" s="231">
        <f>IF(A26="","",D26+E26-F26)</f>
        <v/>
      </c>
      <c r="H26" s="231">
        <f>IFERROR(VLOOKUP(A26,Productos!$A$5:$I$59,7,FALSE),0)</f>
        <v/>
      </c>
      <c r="I26" s="230">
        <f>IF(A26="","",IF(G26&lt;=H26,"Reponer","Suficiente"))</f>
        <v/>
      </c>
      <c r="J26" s="225">
        <f>IFERROR(VLOOKUP(A26,Productos!$A$5:$I$59,6,FALSE),0)</f>
        <v/>
      </c>
      <c r="K26" s="225">
        <f>IFERROR(VLOOKUP(A26,Productos!$A$5:$I$59,5,FALSE),0)</f>
        <v/>
      </c>
      <c r="L26" s="225">
        <f>IF(A26="","",G26*J26)</f>
        <v/>
      </c>
      <c r="M26" s="225">
        <f>IF(A26="","",G26*K26)</f>
        <v/>
      </c>
      <c r="N26" s="231">
        <f>IF(A26="","",IF(G26&lt;=H26,1,0))</f>
        <v/>
      </c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</row>
    <row r="27">
      <c r="A27" s="229" t="n"/>
      <c r="B27" s="230" t="n"/>
      <c r="C27" s="230" t="n"/>
      <c r="D27" s="229" t="n"/>
      <c r="E27" s="231">
        <f>IF(A27="","",SUMIFS(Compras!$F:$F,Compras!$D:$D,A27))</f>
        <v/>
      </c>
      <c r="F27" s="231">
        <f>IF(A27="","",SUMIFS(Ventas!$F:$F,Ventas!$D:$D,A27))</f>
        <v/>
      </c>
      <c r="G27" s="231">
        <f>IF(A27="","",D27+E27-F27)</f>
        <v/>
      </c>
      <c r="H27" s="231">
        <f>IFERROR(VLOOKUP(A27,Productos!$A$5:$I$59,7,FALSE),0)</f>
        <v/>
      </c>
      <c r="I27" s="230">
        <f>IF(A27="","",IF(G27&lt;=H27,"Reponer","Suficiente"))</f>
        <v/>
      </c>
      <c r="J27" s="225">
        <f>IFERROR(VLOOKUP(A27,Productos!$A$5:$I$59,6,FALSE),0)</f>
        <v/>
      </c>
      <c r="K27" s="225">
        <f>IFERROR(VLOOKUP(A27,Productos!$A$5:$I$59,5,FALSE),0)</f>
        <v/>
      </c>
      <c r="L27" s="225">
        <f>IF(A27="","",G27*J27)</f>
        <v/>
      </c>
      <c r="M27" s="225">
        <f>IF(A27="","",G27*K27)</f>
        <v/>
      </c>
      <c r="N27" s="231">
        <f>IF(A27="","",IF(G27&lt;=H27,1,0))</f>
        <v/>
      </c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</row>
    <row r="28">
      <c r="A28" s="229" t="n"/>
      <c r="B28" s="230" t="n"/>
      <c r="C28" s="230" t="n"/>
      <c r="D28" s="229" t="n"/>
      <c r="E28" s="231">
        <f>IF(A28="","",SUMIFS(Compras!$F:$F,Compras!$D:$D,A28))</f>
        <v/>
      </c>
      <c r="F28" s="231">
        <f>IF(A28="","",SUMIFS(Ventas!$F:$F,Ventas!$D:$D,A28))</f>
        <v/>
      </c>
      <c r="G28" s="231">
        <f>IF(A28="","",D28+E28-F28)</f>
        <v/>
      </c>
      <c r="H28" s="231">
        <f>IFERROR(VLOOKUP(A28,Productos!$A$5:$I$59,7,FALSE),0)</f>
        <v/>
      </c>
      <c r="I28" s="230">
        <f>IF(A28="","",IF(G28&lt;=H28,"Reponer","Suficiente"))</f>
        <v/>
      </c>
      <c r="J28" s="225">
        <f>IFERROR(VLOOKUP(A28,Productos!$A$5:$I$59,6,FALSE),0)</f>
        <v/>
      </c>
      <c r="K28" s="225">
        <f>IFERROR(VLOOKUP(A28,Productos!$A$5:$I$59,5,FALSE),0)</f>
        <v/>
      </c>
      <c r="L28" s="225">
        <f>IF(A28="","",G28*J28)</f>
        <v/>
      </c>
      <c r="M28" s="225">
        <f>IF(A28="","",G28*K28)</f>
        <v/>
      </c>
      <c r="N28" s="231">
        <f>IF(A28="","",IF(G28&lt;=H28,1,0))</f>
        <v/>
      </c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</row>
    <row r="29">
      <c r="A29" s="229" t="n"/>
      <c r="B29" s="230" t="n"/>
      <c r="C29" s="230" t="n"/>
      <c r="D29" s="229" t="n"/>
      <c r="E29" s="231">
        <f>IF(A29="","",SUMIFS(Compras!$F:$F,Compras!$D:$D,A29))</f>
        <v/>
      </c>
      <c r="F29" s="231">
        <f>IF(A29="","",SUMIFS(Ventas!$F:$F,Ventas!$D:$D,A29))</f>
        <v/>
      </c>
      <c r="G29" s="231">
        <f>IF(A29="","",D29+E29-F29)</f>
        <v/>
      </c>
      <c r="H29" s="231">
        <f>IFERROR(VLOOKUP(A29,Productos!$A$5:$I$59,7,FALSE),0)</f>
        <v/>
      </c>
      <c r="I29" s="230">
        <f>IF(A29="","",IF(G29&lt;=H29,"Reponer","Suficiente"))</f>
        <v/>
      </c>
      <c r="J29" s="225">
        <f>IFERROR(VLOOKUP(A29,Productos!$A$5:$I$59,6,FALSE),0)</f>
        <v/>
      </c>
      <c r="K29" s="225">
        <f>IFERROR(VLOOKUP(A29,Productos!$A$5:$I$59,5,FALSE),0)</f>
        <v/>
      </c>
      <c r="L29" s="225">
        <f>IF(A29="","",G29*J29)</f>
        <v/>
      </c>
      <c r="M29" s="225">
        <f>IF(A29="","",G29*K29)</f>
        <v/>
      </c>
      <c r="N29" s="231">
        <f>IF(A29="","",IF(G29&lt;=H29,1,0))</f>
        <v/>
      </c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</row>
    <row r="30">
      <c r="A30" s="229" t="n"/>
      <c r="B30" s="230" t="n"/>
      <c r="C30" s="230" t="n"/>
      <c r="D30" s="229" t="n"/>
      <c r="E30" s="231">
        <f>IF(A30="","",SUMIFS(Compras!$F:$F,Compras!$D:$D,A30))</f>
        <v/>
      </c>
      <c r="F30" s="231">
        <f>IF(A30="","",SUMIFS(Ventas!$F:$F,Ventas!$D:$D,A30))</f>
        <v/>
      </c>
      <c r="G30" s="231">
        <f>IF(A30="","",D30+E30-F30)</f>
        <v/>
      </c>
      <c r="H30" s="231">
        <f>IFERROR(VLOOKUP(A30,Productos!$A$5:$I$59,7,FALSE),0)</f>
        <v/>
      </c>
      <c r="I30" s="230">
        <f>IF(A30="","",IF(G30&lt;=H30,"Reponer","Suficiente"))</f>
        <v/>
      </c>
      <c r="J30" s="225">
        <f>IFERROR(VLOOKUP(A30,Productos!$A$5:$I$59,6,FALSE),0)</f>
        <v/>
      </c>
      <c r="K30" s="225">
        <f>IFERROR(VLOOKUP(A30,Productos!$A$5:$I$59,5,FALSE),0)</f>
        <v/>
      </c>
      <c r="L30" s="225">
        <f>IF(A30="","",G30*J30)</f>
        <v/>
      </c>
      <c r="M30" s="225">
        <f>IF(A30="","",G30*K30)</f>
        <v/>
      </c>
      <c r="N30" s="231">
        <f>IF(A30="","",IF(G30&lt;=H30,1,0))</f>
        <v/>
      </c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</row>
    <row r="31">
      <c r="A31" s="229" t="n"/>
      <c r="B31" s="230" t="n"/>
      <c r="C31" s="230" t="n"/>
      <c r="D31" s="229" t="n"/>
      <c r="E31" s="231">
        <f>IF(A31="","",SUMIFS(Compras!$F:$F,Compras!$D:$D,A31))</f>
        <v/>
      </c>
      <c r="F31" s="231">
        <f>IF(A31="","",SUMIFS(Ventas!$F:$F,Ventas!$D:$D,A31))</f>
        <v/>
      </c>
      <c r="G31" s="231">
        <f>IF(A31="","",D31+E31-F31)</f>
        <v/>
      </c>
      <c r="H31" s="231">
        <f>IFERROR(VLOOKUP(A31,Productos!$A$5:$I$59,7,FALSE),0)</f>
        <v/>
      </c>
      <c r="I31" s="230">
        <f>IF(A31="","",IF(G31&lt;=H31,"Reponer","Suficiente"))</f>
        <v/>
      </c>
      <c r="J31" s="225">
        <f>IFERROR(VLOOKUP(A31,Productos!$A$5:$I$59,6,FALSE),0)</f>
        <v/>
      </c>
      <c r="K31" s="225">
        <f>IFERROR(VLOOKUP(A31,Productos!$A$5:$I$59,5,FALSE),0)</f>
        <v/>
      </c>
      <c r="L31" s="225">
        <f>IF(A31="","",G31*J31)</f>
        <v/>
      </c>
      <c r="M31" s="225">
        <f>IF(A31="","",G31*K31)</f>
        <v/>
      </c>
      <c r="N31" s="231">
        <f>IF(A31="","",IF(G31&lt;=H31,1,0))</f>
        <v/>
      </c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</row>
    <row r="32">
      <c r="A32" s="229" t="n"/>
      <c r="B32" s="230" t="n"/>
      <c r="C32" s="230" t="n"/>
      <c r="D32" s="229" t="n"/>
      <c r="E32" s="231">
        <f>IF(A32="","",SUMIFS(Compras!$F:$F,Compras!$D:$D,A32))</f>
        <v/>
      </c>
      <c r="F32" s="231">
        <f>IF(A32="","",SUMIFS(Ventas!$F:$F,Ventas!$D:$D,A32))</f>
        <v/>
      </c>
      <c r="G32" s="231">
        <f>IF(A32="","",D32+E32-F32)</f>
        <v/>
      </c>
      <c r="H32" s="231">
        <f>IFERROR(VLOOKUP(A32,Productos!$A$5:$I$59,7,FALSE),0)</f>
        <v/>
      </c>
      <c r="I32" s="230">
        <f>IF(A32="","",IF(G32&lt;=H32,"Reponer","Suficiente"))</f>
        <v/>
      </c>
      <c r="J32" s="225">
        <f>IFERROR(VLOOKUP(A32,Productos!$A$5:$I$59,6,FALSE),0)</f>
        <v/>
      </c>
      <c r="K32" s="225">
        <f>IFERROR(VLOOKUP(A32,Productos!$A$5:$I$59,5,FALSE),0)</f>
        <v/>
      </c>
      <c r="L32" s="225">
        <f>IF(A32="","",G32*J32)</f>
        <v/>
      </c>
      <c r="M32" s="225">
        <f>IF(A32="","",G32*K32)</f>
        <v/>
      </c>
      <c r="N32" s="231">
        <f>IF(A32="","",IF(G32&lt;=H32,1,0))</f>
        <v/>
      </c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</row>
    <row r="33">
      <c r="A33" s="229" t="n"/>
      <c r="B33" s="230" t="n"/>
      <c r="C33" s="230" t="n"/>
      <c r="D33" s="229" t="n"/>
      <c r="E33" s="231">
        <f>IF(A33="","",SUMIFS(Compras!$F:$F,Compras!$D:$D,A33))</f>
        <v/>
      </c>
      <c r="F33" s="231">
        <f>IF(A33="","",SUMIFS(Ventas!$F:$F,Ventas!$D:$D,A33))</f>
        <v/>
      </c>
      <c r="G33" s="231">
        <f>IF(A33="","",D33+E33-F33)</f>
        <v/>
      </c>
      <c r="H33" s="231">
        <f>IFERROR(VLOOKUP(A33,Productos!$A$5:$I$59,7,FALSE),0)</f>
        <v/>
      </c>
      <c r="I33" s="230">
        <f>IF(A33="","",IF(G33&lt;=H33,"Reponer","Suficiente"))</f>
        <v/>
      </c>
      <c r="J33" s="225">
        <f>IFERROR(VLOOKUP(A33,Productos!$A$5:$I$59,6,FALSE),0)</f>
        <v/>
      </c>
      <c r="K33" s="225">
        <f>IFERROR(VLOOKUP(A33,Productos!$A$5:$I$59,5,FALSE),0)</f>
        <v/>
      </c>
      <c r="L33" s="225">
        <f>IF(A33="","",G33*J33)</f>
        <v/>
      </c>
      <c r="M33" s="225">
        <f>IF(A33="","",G33*K33)</f>
        <v/>
      </c>
      <c r="N33" s="231">
        <f>IF(A33="","",IF(G33&lt;=H33,1,0))</f>
        <v/>
      </c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</row>
    <row r="34">
      <c r="A34" s="229" t="n"/>
      <c r="B34" s="230" t="n"/>
      <c r="C34" s="230" t="n"/>
      <c r="D34" s="229" t="n"/>
      <c r="E34" s="231">
        <f>IF(A34="","",SUMIFS(Compras!$F:$F,Compras!$D:$D,A34))</f>
        <v/>
      </c>
      <c r="F34" s="231">
        <f>IF(A34="","",SUMIFS(Ventas!$F:$F,Ventas!$D:$D,A34))</f>
        <v/>
      </c>
      <c r="G34" s="231">
        <f>IF(A34="","",D34+E34-F34)</f>
        <v/>
      </c>
      <c r="H34" s="231">
        <f>IFERROR(VLOOKUP(A34,Productos!$A$5:$I$59,7,FALSE),0)</f>
        <v/>
      </c>
      <c r="I34" s="230">
        <f>IF(A34="","",IF(G34&lt;=H34,"Reponer","Suficiente"))</f>
        <v/>
      </c>
      <c r="J34" s="225">
        <f>IFERROR(VLOOKUP(A34,Productos!$A$5:$I$59,6,FALSE),0)</f>
        <v/>
      </c>
      <c r="K34" s="225">
        <f>IFERROR(VLOOKUP(A34,Productos!$A$5:$I$59,5,FALSE),0)</f>
        <v/>
      </c>
      <c r="L34" s="225">
        <f>IF(A34="","",G34*J34)</f>
        <v/>
      </c>
      <c r="M34" s="225">
        <f>IF(A34="","",G34*K34)</f>
        <v/>
      </c>
      <c r="N34" s="231">
        <f>IF(A34="","",IF(G34&lt;=H34,1,0))</f>
        <v/>
      </c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</row>
    <row r="35">
      <c r="A35" s="229" t="n"/>
      <c r="B35" s="230" t="n"/>
      <c r="C35" s="230" t="n"/>
      <c r="D35" s="229" t="n"/>
      <c r="E35" s="231">
        <f>IF(A35="","",SUMIFS(Compras!$F:$F,Compras!$D:$D,A35))</f>
        <v/>
      </c>
      <c r="F35" s="231">
        <f>IF(A35="","",SUMIFS(Ventas!$F:$F,Ventas!$D:$D,A35))</f>
        <v/>
      </c>
      <c r="G35" s="231">
        <f>IF(A35="","",D35+E35-F35)</f>
        <v/>
      </c>
      <c r="H35" s="231">
        <f>IFERROR(VLOOKUP(A35,Productos!$A$5:$I$59,7,FALSE),0)</f>
        <v/>
      </c>
      <c r="I35" s="230">
        <f>IF(A35="","",IF(G35&lt;=H35,"Reponer","Suficiente"))</f>
        <v/>
      </c>
      <c r="J35" s="225">
        <f>IFERROR(VLOOKUP(A35,Productos!$A$5:$I$59,6,FALSE),0)</f>
        <v/>
      </c>
      <c r="K35" s="225">
        <f>IFERROR(VLOOKUP(A35,Productos!$A$5:$I$59,5,FALSE),0)</f>
        <v/>
      </c>
      <c r="L35" s="225">
        <f>IF(A35="","",G35*J35)</f>
        <v/>
      </c>
      <c r="M35" s="225">
        <f>IF(A35="","",G35*K35)</f>
        <v/>
      </c>
      <c r="N35" s="231">
        <f>IF(A35="","",IF(G35&lt;=H35,1,0))</f>
        <v/>
      </c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</row>
    <row r="36">
      <c r="A36" s="229" t="n"/>
      <c r="B36" s="230" t="n"/>
      <c r="C36" s="230" t="n"/>
      <c r="D36" s="229" t="n"/>
      <c r="E36" s="231">
        <f>IF(A36="","",SUMIFS(Compras!$F:$F,Compras!$D:$D,A36))</f>
        <v/>
      </c>
      <c r="F36" s="231">
        <f>IF(A36="","",SUMIFS(Ventas!$F:$F,Ventas!$D:$D,A36))</f>
        <v/>
      </c>
      <c r="G36" s="231">
        <f>IF(A36="","",D36+E36-F36)</f>
        <v/>
      </c>
      <c r="H36" s="231">
        <f>IFERROR(VLOOKUP(A36,Productos!$A$5:$I$59,7,FALSE),0)</f>
        <v/>
      </c>
      <c r="I36" s="230">
        <f>IF(A36="","",IF(G36&lt;=H36,"Reponer","Suficiente"))</f>
        <v/>
      </c>
      <c r="J36" s="225">
        <f>IFERROR(VLOOKUP(A36,Productos!$A$5:$I$59,6,FALSE),0)</f>
        <v/>
      </c>
      <c r="K36" s="225">
        <f>IFERROR(VLOOKUP(A36,Productos!$A$5:$I$59,5,FALSE),0)</f>
        <v/>
      </c>
      <c r="L36" s="225">
        <f>IF(A36="","",G36*J36)</f>
        <v/>
      </c>
      <c r="M36" s="225">
        <f>IF(A36="","",G36*K36)</f>
        <v/>
      </c>
      <c r="N36" s="231">
        <f>IF(A36="","",IF(G36&lt;=H36,1,0))</f>
        <v/>
      </c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</row>
    <row r="37">
      <c r="A37" s="229" t="n"/>
      <c r="B37" s="230" t="n"/>
      <c r="C37" s="230" t="n"/>
      <c r="D37" s="229" t="n"/>
      <c r="E37" s="231">
        <f>IF(A37="","",SUMIFS(Compras!$F:$F,Compras!$D:$D,A37))</f>
        <v/>
      </c>
      <c r="F37" s="231">
        <f>IF(A37="","",SUMIFS(Ventas!$F:$F,Ventas!$D:$D,A37))</f>
        <v/>
      </c>
      <c r="G37" s="231">
        <f>IF(A37="","",D37+E37-F37)</f>
        <v/>
      </c>
      <c r="H37" s="231">
        <f>IFERROR(VLOOKUP(A37,Productos!$A$5:$I$59,7,FALSE),0)</f>
        <v/>
      </c>
      <c r="I37" s="230">
        <f>IF(A37="","",IF(G37&lt;=H37,"Reponer","Suficiente"))</f>
        <v/>
      </c>
      <c r="J37" s="225">
        <f>IFERROR(VLOOKUP(A37,Productos!$A$5:$I$59,6,FALSE),0)</f>
        <v/>
      </c>
      <c r="K37" s="225">
        <f>IFERROR(VLOOKUP(A37,Productos!$A$5:$I$59,5,FALSE),0)</f>
        <v/>
      </c>
      <c r="L37" s="225">
        <f>IF(A37="","",G37*J37)</f>
        <v/>
      </c>
      <c r="M37" s="225">
        <f>IF(A37="","",G37*K37)</f>
        <v/>
      </c>
      <c r="N37" s="231">
        <f>IF(A37="","",IF(G37&lt;=H37,1,0))</f>
        <v/>
      </c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</row>
    <row r="38">
      <c r="A38" s="229" t="n"/>
      <c r="B38" s="230" t="n"/>
      <c r="C38" s="230" t="n"/>
      <c r="D38" s="229" t="n"/>
      <c r="E38" s="231">
        <f>IF(A38="","",SUMIFS(Compras!$F:$F,Compras!$D:$D,A38))</f>
        <v/>
      </c>
      <c r="F38" s="231">
        <f>IF(A38="","",SUMIFS(Ventas!$F:$F,Ventas!$D:$D,A38))</f>
        <v/>
      </c>
      <c r="G38" s="231">
        <f>IF(A38="","",D38+E38-F38)</f>
        <v/>
      </c>
      <c r="H38" s="231">
        <f>IFERROR(VLOOKUP(A38,Productos!$A$5:$I$59,7,FALSE),0)</f>
        <v/>
      </c>
      <c r="I38" s="230">
        <f>IF(A38="","",IF(G38&lt;=H38,"Reponer","Suficiente"))</f>
        <v/>
      </c>
      <c r="J38" s="225">
        <f>IFERROR(VLOOKUP(A38,Productos!$A$5:$I$59,6,FALSE),0)</f>
        <v/>
      </c>
      <c r="K38" s="225">
        <f>IFERROR(VLOOKUP(A38,Productos!$A$5:$I$59,5,FALSE),0)</f>
        <v/>
      </c>
      <c r="L38" s="225">
        <f>IF(A38="","",G38*J38)</f>
        <v/>
      </c>
      <c r="M38" s="225">
        <f>IF(A38="","",G38*K38)</f>
        <v/>
      </c>
      <c r="N38" s="231">
        <f>IF(A38="","",IF(G38&lt;=H38,1,0))</f>
        <v/>
      </c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</row>
    <row r="39">
      <c r="A39" s="229" t="n"/>
      <c r="B39" s="230" t="n"/>
      <c r="C39" s="230" t="n"/>
      <c r="D39" s="229" t="n"/>
      <c r="E39" s="231">
        <f>IF(A39="","",SUMIFS(Compras!$F:$F,Compras!$D:$D,A39))</f>
        <v/>
      </c>
      <c r="F39" s="231">
        <f>IF(A39="","",SUMIFS(Ventas!$F:$F,Ventas!$D:$D,A39))</f>
        <v/>
      </c>
      <c r="G39" s="231">
        <f>IF(A39="","",D39+E39-F39)</f>
        <v/>
      </c>
      <c r="H39" s="231">
        <f>IFERROR(VLOOKUP(A39,Productos!$A$5:$I$59,7,FALSE),0)</f>
        <v/>
      </c>
      <c r="I39" s="230">
        <f>IF(A39="","",IF(G39&lt;=H39,"Reponer","Suficiente"))</f>
        <v/>
      </c>
      <c r="J39" s="225">
        <f>IFERROR(VLOOKUP(A39,Productos!$A$5:$I$59,6,FALSE),0)</f>
        <v/>
      </c>
      <c r="K39" s="225">
        <f>IFERROR(VLOOKUP(A39,Productos!$A$5:$I$59,5,FALSE),0)</f>
        <v/>
      </c>
      <c r="L39" s="225">
        <f>IF(A39="","",G39*J39)</f>
        <v/>
      </c>
      <c r="M39" s="225">
        <f>IF(A39="","",G39*K39)</f>
        <v/>
      </c>
      <c r="N39" s="231">
        <f>IF(A39="","",IF(G39&lt;=H39,1,0))</f>
        <v/>
      </c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</row>
    <row r="40">
      <c r="A40" s="229" t="n"/>
      <c r="B40" s="230" t="n"/>
      <c r="C40" s="230" t="n"/>
      <c r="D40" s="229" t="n"/>
      <c r="E40" s="231">
        <f>IF(A40="","",SUMIFS(Compras!$F:$F,Compras!$D:$D,A40))</f>
        <v/>
      </c>
      <c r="F40" s="231">
        <f>IF(A40="","",SUMIFS(Ventas!$F:$F,Ventas!$D:$D,A40))</f>
        <v/>
      </c>
      <c r="G40" s="231">
        <f>IF(A40="","",D40+E40-F40)</f>
        <v/>
      </c>
      <c r="H40" s="231">
        <f>IFERROR(VLOOKUP(A40,Productos!$A$5:$I$59,7,FALSE),0)</f>
        <v/>
      </c>
      <c r="I40" s="230">
        <f>IF(A40="","",IF(G40&lt;=H40,"Reponer","Suficiente"))</f>
        <v/>
      </c>
      <c r="J40" s="225">
        <f>IFERROR(VLOOKUP(A40,Productos!$A$5:$I$59,6,FALSE),0)</f>
        <v/>
      </c>
      <c r="K40" s="225">
        <f>IFERROR(VLOOKUP(A40,Productos!$A$5:$I$59,5,FALSE),0)</f>
        <v/>
      </c>
      <c r="L40" s="225">
        <f>IF(A40="","",G40*J40)</f>
        <v/>
      </c>
      <c r="M40" s="225">
        <f>IF(A40="","",G40*K40)</f>
        <v/>
      </c>
      <c r="N40" s="231">
        <f>IF(A40="","",IF(G40&lt;=H40,1,0))</f>
        <v/>
      </c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</row>
    <row r="41">
      <c r="A41" s="229" t="n"/>
      <c r="B41" s="230" t="n"/>
      <c r="C41" s="230" t="n"/>
      <c r="D41" s="229" t="n"/>
      <c r="E41" s="231">
        <f>IF(A41="","",SUMIFS(Compras!$F:$F,Compras!$D:$D,A41))</f>
        <v/>
      </c>
      <c r="F41" s="231">
        <f>IF(A41="","",SUMIFS(Ventas!$F:$F,Ventas!$D:$D,A41))</f>
        <v/>
      </c>
      <c r="G41" s="231">
        <f>IF(A41="","",D41+E41-F41)</f>
        <v/>
      </c>
      <c r="H41" s="231">
        <f>IFERROR(VLOOKUP(A41,Productos!$A$5:$I$59,7,FALSE),0)</f>
        <v/>
      </c>
      <c r="I41" s="230">
        <f>IF(A41="","",IF(G41&lt;=H41,"Reponer","Suficiente"))</f>
        <v/>
      </c>
      <c r="J41" s="225">
        <f>IFERROR(VLOOKUP(A41,Productos!$A$5:$I$59,6,FALSE),0)</f>
        <v/>
      </c>
      <c r="K41" s="225">
        <f>IFERROR(VLOOKUP(A41,Productos!$A$5:$I$59,5,FALSE),0)</f>
        <v/>
      </c>
      <c r="L41" s="225">
        <f>IF(A41="","",G41*J41)</f>
        <v/>
      </c>
      <c r="M41" s="225">
        <f>IF(A41="","",G41*K41)</f>
        <v/>
      </c>
      <c r="N41" s="231">
        <f>IF(A41="","",IF(G41&lt;=H41,1,0))</f>
        <v/>
      </c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</row>
    <row r="42">
      <c r="A42" s="229" t="n"/>
      <c r="B42" s="230" t="n"/>
      <c r="C42" s="230" t="n"/>
      <c r="D42" s="229" t="n"/>
      <c r="E42" s="231">
        <f>IF(A42="","",SUMIFS(Compras!$F:$F,Compras!$D:$D,A42))</f>
        <v/>
      </c>
      <c r="F42" s="231">
        <f>IF(A42="","",SUMIFS(Ventas!$F:$F,Ventas!$D:$D,A42))</f>
        <v/>
      </c>
      <c r="G42" s="231">
        <f>IF(A42="","",D42+E42-F42)</f>
        <v/>
      </c>
      <c r="H42" s="231">
        <f>IFERROR(VLOOKUP(A42,Productos!$A$5:$I$59,7,FALSE),0)</f>
        <v/>
      </c>
      <c r="I42" s="230">
        <f>IF(A42="","",IF(G42&lt;=H42,"Reponer","Suficiente"))</f>
        <v/>
      </c>
      <c r="J42" s="225">
        <f>IFERROR(VLOOKUP(A42,Productos!$A$5:$I$59,6,FALSE),0)</f>
        <v/>
      </c>
      <c r="K42" s="225">
        <f>IFERROR(VLOOKUP(A42,Productos!$A$5:$I$59,5,FALSE),0)</f>
        <v/>
      </c>
      <c r="L42" s="225">
        <f>IF(A42="","",G42*J42)</f>
        <v/>
      </c>
      <c r="M42" s="225">
        <f>IF(A42="","",G42*K42)</f>
        <v/>
      </c>
      <c r="N42" s="231">
        <f>IF(A42="","",IF(G42&lt;=H42,1,0))</f>
        <v/>
      </c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</row>
    <row r="43">
      <c r="A43" s="229" t="n"/>
      <c r="B43" s="230" t="n"/>
      <c r="C43" s="230" t="n"/>
      <c r="D43" s="229" t="n"/>
      <c r="E43" s="231">
        <f>IF(A43="","",SUMIFS(Compras!$F:$F,Compras!$D:$D,A43))</f>
        <v/>
      </c>
      <c r="F43" s="231">
        <f>IF(A43="","",SUMIFS(Ventas!$F:$F,Ventas!$D:$D,A43))</f>
        <v/>
      </c>
      <c r="G43" s="231">
        <f>IF(A43="","",D43+E43-F43)</f>
        <v/>
      </c>
      <c r="H43" s="231">
        <f>IFERROR(VLOOKUP(A43,Productos!$A$5:$I$59,7,FALSE),0)</f>
        <v/>
      </c>
      <c r="I43" s="230">
        <f>IF(A43="","",IF(G43&lt;=H43,"Reponer","Suficiente"))</f>
        <v/>
      </c>
      <c r="J43" s="225">
        <f>IFERROR(VLOOKUP(A43,Productos!$A$5:$I$59,6,FALSE),0)</f>
        <v/>
      </c>
      <c r="K43" s="225">
        <f>IFERROR(VLOOKUP(A43,Productos!$A$5:$I$59,5,FALSE),0)</f>
        <v/>
      </c>
      <c r="L43" s="225">
        <f>IF(A43="","",G43*J43)</f>
        <v/>
      </c>
      <c r="M43" s="225">
        <f>IF(A43="","",G43*K43)</f>
        <v/>
      </c>
      <c r="N43" s="231">
        <f>IF(A43="","",IF(G43&lt;=H43,1,0))</f>
        <v/>
      </c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</row>
    <row r="44">
      <c r="A44" s="229" t="n"/>
      <c r="B44" s="230" t="n"/>
      <c r="C44" s="230" t="n"/>
      <c r="D44" s="229" t="n"/>
      <c r="E44" s="231">
        <f>IF(A44="","",SUMIFS(Compras!$F:$F,Compras!$D:$D,A44))</f>
        <v/>
      </c>
      <c r="F44" s="231">
        <f>IF(A44="","",SUMIFS(Ventas!$F:$F,Ventas!$D:$D,A44))</f>
        <v/>
      </c>
      <c r="G44" s="231">
        <f>IF(A44="","",D44+E44-F44)</f>
        <v/>
      </c>
      <c r="H44" s="231">
        <f>IFERROR(VLOOKUP(A44,Productos!$A$5:$I$59,7,FALSE),0)</f>
        <v/>
      </c>
      <c r="I44" s="230">
        <f>IF(A44="","",IF(G44&lt;=H44,"Reponer","Suficiente"))</f>
        <v/>
      </c>
      <c r="J44" s="225">
        <f>IFERROR(VLOOKUP(A44,Productos!$A$5:$I$59,6,FALSE),0)</f>
        <v/>
      </c>
      <c r="K44" s="225">
        <f>IFERROR(VLOOKUP(A44,Productos!$A$5:$I$59,5,FALSE),0)</f>
        <v/>
      </c>
      <c r="L44" s="225">
        <f>IF(A44="","",G44*J44)</f>
        <v/>
      </c>
      <c r="M44" s="225">
        <f>IF(A44="","",G44*K44)</f>
        <v/>
      </c>
      <c r="N44" s="231">
        <f>IF(A44="","",IF(G44&lt;=H44,1,0))</f>
        <v/>
      </c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</row>
    <row r="45">
      <c r="A45" s="229" t="n"/>
      <c r="B45" s="230" t="n"/>
      <c r="C45" s="230" t="n"/>
      <c r="D45" s="229" t="n"/>
      <c r="E45" s="231">
        <f>IF(A45="","",SUMIFS(Compras!$F:$F,Compras!$D:$D,A45))</f>
        <v/>
      </c>
      <c r="F45" s="231">
        <f>IF(A45="","",SUMIFS(Ventas!$F:$F,Ventas!$D:$D,A45))</f>
        <v/>
      </c>
      <c r="G45" s="231">
        <f>IF(A45="","",D45+E45-F45)</f>
        <v/>
      </c>
      <c r="H45" s="231">
        <f>IFERROR(VLOOKUP(A45,Productos!$A$5:$I$59,7,FALSE),0)</f>
        <v/>
      </c>
      <c r="I45" s="230">
        <f>IF(A45="","",IF(G45&lt;=H45,"Reponer","Suficiente"))</f>
        <v/>
      </c>
      <c r="J45" s="225">
        <f>IFERROR(VLOOKUP(A45,Productos!$A$5:$I$59,6,FALSE),0)</f>
        <v/>
      </c>
      <c r="K45" s="225">
        <f>IFERROR(VLOOKUP(A45,Productos!$A$5:$I$59,5,FALSE),0)</f>
        <v/>
      </c>
      <c r="L45" s="225">
        <f>IF(A45="","",G45*J45)</f>
        <v/>
      </c>
      <c r="M45" s="225">
        <f>IF(A45="","",G45*K45)</f>
        <v/>
      </c>
      <c r="N45" s="231">
        <f>IF(A45="","",IF(G45&lt;=H45,1,0))</f>
        <v/>
      </c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</row>
    <row r="46">
      <c r="A46" s="229" t="n"/>
      <c r="B46" s="230" t="n"/>
      <c r="C46" s="230" t="n"/>
      <c r="D46" s="229" t="n"/>
      <c r="E46" s="231">
        <f>IF(A46="","",SUMIFS(Compras!$F:$F,Compras!$D:$D,A46))</f>
        <v/>
      </c>
      <c r="F46" s="231">
        <f>IF(A46="","",SUMIFS(Ventas!$F:$F,Ventas!$D:$D,A46))</f>
        <v/>
      </c>
      <c r="G46" s="231">
        <f>IF(A46="","",D46+E46-F46)</f>
        <v/>
      </c>
      <c r="H46" s="231">
        <f>IFERROR(VLOOKUP(A46,Productos!$A$5:$I$59,7,FALSE),0)</f>
        <v/>
      </c>
      <c r="I46" s="230">
        <f>IF(A46="","",IF(G46&lt;=H46,"Reponer","Suficiente"))</f>
        <v/>
      </c>
      <c r="J46" s="225">
        <f>IFERROR(VLOOKUP(A46,Productos!$A$5:$I$59,6,FALSE),0)</f>
        <v/>
      </c>
      <c r="K46" s="225">
        <f>IFERROR(VLOOKUP(A46,Productos!$A$5:$I$59,5,FALSE),0)</f>
        <v/>
      </c>
      <c r="L46" s="225">
        <f>IF(A46="","",G46*J46)</f>
        <v/>
      </c>
      <c r="M46" s="225">
        <f>IF(A46="","",G46*K46)</f>
        <v/>
      </c>
      <c r="N46" s="231">
        <f>IF(A46="","",IF(G46&lt;=H46,1,0))</f>
        <v/>
      </c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</row>
    <row r="47">
      <c r="A47" s="229" t="n"/>
      <c r="B47" s="230" t="n"/>
      <c r="C47" s="230" t="n"/>
      <c r="D47" s="229" t="n"/>
      <c r="E47" s="231">
        <f>IF(A47="","",SUMIFS(Compras!$F:$F,Compras!$D:$D,A47))</f>
        <v/>
      </c>
      <c r="F47" s="231">
        <f>IF(A47="","",SUMIFS(Ventas!$F:$F,Ventas!$D:$D,A47))</f>
        <v/>
      </c>
      <c r="G47" s="231">
        <f>IF(A47="","",D47+E47-F47)</f>
        <v/>
      </c>
      <c r="H47" s="231">
        <f>IFERROR(VLOOKUP(A47,Productos!$A$5:$I$59,7,FALSE),0)</f>
        <v/>
      </c>
      <c r="I47" s="230">
        <f>IF(A47="","",IF(G47&lt;=H47,"Reponer","Suficiente"))</f>
        <v/>
      </c>
      <c r="J47" s="225">
        <f>IFERROR(VLOOKUP(A47,Productos!$A$5:$I$59,6,FALSE),0)</f>
        <v/>
      </c>
      <c r="K47" s="225">
        <f>IFERROR(VLOOKUP(A47,Productos!$A$5:$I$59,5,FALSE),0)</f>
        <v/>
      </c>
      <c r="L47" s="225">
        <f>IF(A47="","",G47*J47)</f>
        <v/>
      </c>
      <c r="M47" s="225">
        <f>IF(A47="","",G47*K47)</f>
        <v/>
      </c>
      <c r="N47" s="231">
        <f>IF(A47="","",IF(G47&lt;=H47,1,0))</f>
        <v/>
      </c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</row>
    <row r="48">
      <c r="A48" s="229" t="n"/>
      <c r="B48" s="230" t="n"/>
      <c r="C48" s="230" t="n"/>
      <c r="D48" s="229" t="n"/>
      <c r="E48" s="231">
        <f>IF(A48="","",SUMIFS(Compras!$F:$F,Compras!$D:$D,A48))</f>
        <v/>
      </c>
      <c r="F48" s="231">
        <f>IF(A48="","",SUMIFS(Ventas!$F:$F,Ventas!$D:$D,A48))</f>
        <v/>
      </c>
      <c r="G48" s="231">
        <f>IF(A48="","",D48+E48-F48)</f>
        <v/>
      </c>
      <c r="H48" s="231">
        <f>IFERROR(VLOOKUP(A48,Productos!$A$5:$I$59,7,FALSE),0)</f>
        <v/>
      </c>
      <c r="I48" s="230">
        <f>IF(A48="","",IF(G48&lt;=H48,"Reponer","Suficiente"))</f>
        <v/>
      </c>
      <c r="J48" s="225">
        <f>IFERROR(VLOOKUP(A48,Productos!$A$5:$I$59,6,FALSE),0)</f>
        <v/>
      </c>
      <c r="K48" s="225">
        <f>IFERROR(VLOOKUP(A48,Productos!$A$5:$I$59,5,FALSE),0)</f>
        <v/>
      </c>
      <c r="L48" s="225">
        <f>IF(A48="","",G48*J48)</f>
        <v/>
      </c>
      <c r="M48" s="225">
        <f>IF(A48="","",G48*K48)</f>
        <v/>
      </c>
      <c r="N48" s="231">
        <f>IF(A48="","",IF(G48&lt;=H48,1,0))</f>
        <v/>
      </c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</row>
    <row r="49">
      <c r="A49" s="229" t="n"/>
      <c r="B49" s="230" t="n"/>
      <c r="C49" s="230" t="n"/>
      <c r="D49" s="229" t="n"/>
      <c r="E49" s="231">
        <f>IF(A49="","",SUMIFS(Compras!$F:$F,Compras!$D:$D,A49))</f>
        <v/>
      </c>
      <c r="F49" s="231">
        <f>IF(A49="","",SUMIFS(Ventas!$F:$F,Ventas!$D:$D,A49))</f>
        <v/>
      </c>
      <c r="G49" s="231">
        <f>IF(A49="","",D49+E49-F49)</f>
        <v/>
      </c>
      <c r="H49" s="231">
        <f>IFERROR(VLOOKUP(A49,Productos!$A$5:$I$59,7,FALSE),0)</f>
        <v/>
      </c>
      <c r="I49" s="230">
        <f>IF(A49="","",IF(G49&lt;=H49,"Reponer","Suficiente"))</f>
        <v/>
      </c>
      <c r="J49" s="225">
        <f>IFERROR(VLOOKUP(A49,Productos!$A$5:$I$59,6,FALSE),0)</f>
        <v/>
      </c>
      <c r="K49" s="225">
        <f>IFERROR(VLOOKUP(A49,Productos!$A$5:$I$59,5,FALSE),0)</f>
        <v/>
      </c>
      <c r="L49" s="225">
        <f>IF(A49="","",G49*J49)</f>
        <v/>
      </c>
      <c r="M49" s="225">
        <f>IF(A49="","",G49*K49)</f>
        <v/>
      </c>
      <c r="N49" s="231">
        <f>IF(A49="","",IF(G49&lt;=H49,1,0))</f>
        <v/>
      </c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</row>
    <row r="50">
      <c r="A50" s="229" t="n"/>
      <c r="B50" s="230" t="n"/>
      <c r="C50" s="230" t="n"/>
      <c r="D50" s="229" t="n"/>
      <c r="E50" s="231">
        <f>IF(A50="","",SUMIFS(Compras!$F:$F,Compras!$D:$D,A50))</f>
        <v/>
      </c>
      <c r="F50" s="231">
        <f>IF(A50="","",SUMIFS(Ventas!$F:$F,Ventas!$D:$D,A50))</f>
        <v/>
      </c>
      <c r="G50" s="231">
        <f>IF(A50="","",D50+E50-F50)</f>
        <v/>
      </c>
      <c r="H50" s="231">
        <f>IFERROR(VLOOKUP(A50,Productos!$A$5:$I$59,7,FALSE),0)</f>
        <v/>
      </c>
      <c r="I50" s="230">
        <f>IF(A50="","",IF(G50&lt;=H50,"Reponer","Suficiente"))</f>
        <v/>
      </c>
      <c r="J50" s="225">
        <f>IFERROR(VLOOKUP(A50,Productos!$A$5:$I$59,6,FALSE),0)</f>
        <v/>
      </c>
      <c r="K50" s="225">
        <f>IFERROR(VLOOKUP(A50,Productos!$A$5:$I$59,5,FALSE),0)</f>
        <v/>
      </c>
      <c r="L50" s="225">
        <f>IF(A50="","",G50*J50)</f>
        <v/>
      </c>
      <c r="M50" s="225">
        <f>IF(A50="","",G50*K50)</f>
        <v/>
      </c>
      <c r="N50" s="231">
        <f>IF(A50="","",IF(G50&lt;=H50,1,0))</f>
        <v/>
      </c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</row>
    <row r="51">
      <c r="A51" s="229" t="n"/>
      <c r="B51" s="230" t="n"/>
      <c r="C51" s="230" t="n"/>
      <c r="D51" s="229" t="n"/>
      <c r="E51" s="231">
        <f>IF(A51="","",SUMIFS(Compras!$F:$F,Compras!$D:$D,A51))</f>
        <v/>
      </c>
      <c r="F51" s="231">
        <f>IF(A51="","",SUMIFS(Ventas!$F:$F,Ventas!$D:$D,A51))</f>
        <v/>
      </c>
      <c r="G51" s="231">
        <f>IF(A51="","",D51+E51-F51)</f>
        <v/>
      </c>
      <c r="H51" s="231">
        <f>IFERROR(VLOOKUP(A51,Productos!$A$5:$I$59,7,FALSE),0)</f>
        <v/>
      </c>
      <c r="I51" s="230">
        <f>IF(A51="","",IF(G51&lt;=H51,"Reponer","Suficiente"))</f>
        <v/>
      </c>
      <c r="J51" s="225">
        <f>IFERROR(VLOOKUP(A51,Productos!$A$5:$I$59,6,FALSE),0)</f>
        <v/>
      </c>
      <c r="K51" s="225">
        <f>IFERROR(VLOOKUP(A51,Productos!$A$5:$I$59,5,FALSE),0)</f>
        <v/>
      </c>
      <c r="L51" s="225">
        <f>IF(A51="","",G51*J51)</f>
        <v/>
      </c>
      <c r="M51" s="225">
        <f>IF(A51="","",G51*K51)</f>
        <v/>
      </c>
      <c r="N51" s="231">
        <f>IF(A51="","",IF(G51&lt;=H51,1,0))</f>
        <v/>
      </c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</row>
    <row r="52">
      <c r="A52" s="229" t="n"/>
      <c r="B52" s="230" t="n"/>
      <c r="C52" s="230" t="n"/>
      <c r="D52" s="229" t="n"/>
      <c r="E52" s="231">
        <f>IF(A52="","",SUMIFS(Compras!$F:$F,Compras!$D:$D,A52))</f>
        <v/>
      </c>
      <c r="F52" s="231">
        <f>IF(A52="","",SUMIFS(Ventas!$F:$F,Ventas!$D:$D,A52))</f>
        <v/>
      </c>
      <c r="G52" s="231">
        <f>IF(A52="","",D52+E52-F52)</f>
        <v/>
      </c>
      <c r="H52" s="231">
        <f>IFERROR(VLOOKUP(A52,Productos!$A$5:$I$59,7,FALSE),0)</f>
        <v/>
      </c>
      <c r="I52" s="230">
        <f>IF(A52="","",IF(G52&lt;=H52,"Reponer","Suficiente"))</f>
        <v/>
      </c>
      <c r="J52" s="225">
        <f>IFERROR(VLOOKUP(A52,Productos!$A$5:$I$59,6,FALSE),0)</f>
        <v/>
      </c>
      <c r="K52" s="225">
        <f>IFERROR(VLOOKUP(A52,Productos!$A$5:$I$59,5,FALSE),0)</f>
        <v/>
      </c>
      <c r="L52" s="225">
        <f>IF(A52="","",G52*J52)</f>
        <v/>
      </c>
      <c r="M52" s="225">
        <f>IF(A52="","",G52*K52)</f>
        <v/>
      </c>
      <c r="N52" s="231">
        <f>IF(A52="","",IF(G52&lt;=H52,1,0))</f>
        <v/>
      </c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</row>
    <row r="53">
      <c r="A53" s="229" t="n"/>
      <c r="B53" s="230" t="n"/>
      <c r="C53" s="230" t="n"/>
      <c r="D53" s="229" t="n"/>
      <c r="E53" s="231">
        <f>IF(A53="","",SUMIFS(Compras!$F:$F,Compras!$D:$D,A53))</f>
        <v/>
      </c>
      <c r="F53" s="231">
        <f>IF(A53="","",SUMIFS(Ventas!$F:$F,Ventas!$D:$D,A53))</f>
        <v/>
      </c>
      <c r="G53" s="231">
        <f>IF(A53="","",D53+E53-F53)</f>
        <v/>
      </c>
      <c r="H53" s="231">
        <f>IFERROR(VLOOKUP(A53,Productos!$A$5:$I$59,7,FALSE),0)</f>
        <v/>
      </c>
      <c r="I53" s="230">
        <f>IF(A53="","",IF(G53&lt;=H53,"Reponer","Suficiente"))</f>
        <v/>
      </c>
      <c r="J53" s="225">
        <f>IFERROR(VLOOKUP(A53,Productos!$A$5:$I$59,6,FALSE),0)</f>
        <v/>
      </c>
      <c r="K53" s="225">
        <f>IFERROR(VLOOKUP(A53,Productos!$A$5:$I$59,5,FALSE),0)</f>
        <v/>
      </c>
      <c r="L53" s="225">
        <f>IF(A53="","",G53*J53)</f>
        <v/>
      </c>
      <c r="M53" s="225">
        <f>IF(A53="","",G53*K53)</f>
        <v/>
      </c>
      <c r="N53" s="231">
        <f>IF(A53="","",IF(G53&lt;=H53,1,0))</f>
        <v/>
      </c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</row>
    <row r="54">
      <c r="A54" s="229" t="n"/>
      <c r="B54" s="230" t="n"/>
      <c r="C54" s="230" t="n"/>
      <c r="D54" s="229" t="n"/>
      <c r="E54" s="231">
        <f>IF(A54="","",SUMIFS(Compras!$F:$F,Compras!$D:$D,A54))</f>
        <v/>
      </c>
      <c r="F54" s="231">
        <f>IF(A54="","",SUMIFS(Ventas!$F:$F,Ventas!$D:$D,A54))</f>
        <v/>
      </c>
      <c r="G54" s="231">
        <f>IF(A54="","",D54+E54-F54)</f>
        <v/>
      </c>
      <c r="H54" s="231">
        <f>IFERROR(VLOOKUP(A54,Productos!$A$5:$I$59,7,FALSE),0)</f>
        <v/>
      </c>
      <c r="I54" s="230">
        <f>IF(A54="","",IF(G54&lt;=H54,"Reponer","Suficiente"))</f>
        <v/>
      </c>
      <c r="J54" s="225">
        <f>IFERROR(VLOOKUP(A54,Productos!$A$5:$I$59,6,FALSE),0)</f>
        <v/>
      </c>
      <c r="K54" s="225">
        <f>IFERROR(VLOOKUP(A54,Productos!$A$5:$I$59,5,FALSE),0)</f>
        <v/>
      </c>
      <c r="L54" s="225">
        <f>IF(A54="","",G54*J54)</f>
        <v/>
      </c>
      <c r="M54" s="225">
        <f>IF(A54="","",G54*K54)</f>
        <v/>
      </c>
      <c r="N54" s="231">
        <f>IF(A54="","",IF(G54&lt;=H54,1,0))</f>
        <v/>
      </c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</row>
    <row r="55">
      <c r="A55" s="229" t="n"/>
      <c r="B55" s="230" t="n"/>
      <c r="C55" s="230" t="n"/>
      <c r="D55" s="229" t="n"/>
      <c r="E55" s="231">
        <f>IF(A55="","",SUMIFS(Compras!$F:$F,Compras!$D:$D,A55))</f>
        <v/>
      </c>
      <c r="F55" s="231">
        <f>IF(A55="","",SUMIFS(Ventas!$F:$F,Ventas!$D:$D,A55))</f>
        <v/>
      </c>
      <c r="G55" s="231">
        <f>IF(A55="","",D55+E55-F55)</f>
        <v/>
      </c>
      <c r="H55" s="231">
        <f>IFERROR(VLOOKUP(A55,Productos!$A$5:$I$59,7,FALSE),0)</f>
        <v/>
      </c>
      <c r="I55" s="230">
        <f>IF(A55="","",IF(G55&lt;=H55,"Reponer","Suficiente"))</f>
        <v/>
      </c>
      <c r="J55" s="225">
        <f>IFERROR(VLOOKUP(A55,Productos!$A$5:$I$59,6,FALSE),0)</f>
        <v/>
      </c>
      <c r="K55" s="225">
        <f>IFERROR(VLOOKUP(A55,Productos!$A$5:$I$59,5,FALSE),0)</f>
        <v/>
      </c>
      <c r="L55" s="225">
        <f>IF(A55="","",G55*J55)</f>
        <v/>
      </c>
      <c r="M55" s="225">
        <f>IF(A55="","",G55*K55)</f>
        <v/>
      </c>
      <c r="N55" s="231">
        <f>IF(A55="","",IF(G55&lt;=H55,1,0))</f>
        <v/>
      </c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</row>
    <row r="56">
      <c r="A56" s="229" t="n"/>
      <c r="B56" s="230" t="n"/>
      <c r="C56" s="230" t="n"/>
      <c r="D56" s="229" t="n"/>
      <c r="E56" s="231">
        <f>IF(A56="","",SUMIFS(Compras!$F:$F,Compras!$D:$D,A56))</f>
        <v/>
      </c>
      <c r="F56" s="231">
        <f>IF(A56="","",SUMIFS(Ventas!$F:$F,Ventas!$D:$D,A56))</f>
        <v/>
      </c>
      <c r="G56" s="231">
        <f>IF(A56="","",D56+E56-F56)</f>
        <v/>
      </c>
      <c r="H56" s="231">
        <f>IFERROR(VLOOKUP(A56,Productos!$A$5:$I$59,7,FALSE),0)</f>
        <v/>
      </c>
      <c r="I56" s="230">
        <f>IF(A56="","",IF(G56&lt;=H56,"Reponer","Suficiente"))</f>
        <v/>
      </c>
      <c r="J56" s="225">
        <f>IFERROR(VLOOKUP(A56,Productos!$A$5:$I$59,6,FALSE),0)</f>
        <v/>
      </c>
      <c r="K56" s="225">
        <f>IFERROR(VLOOKUP(A56,Productos!$A$5:$I$59,5,FALSE),0)</f>
        <v/>
      </c>
      <c r="L56" s="225">
        <f>IF(A56="","",G56*J56)</f>
        <v/>
      </c>
      <c r="M56" s="225">
        <f>IF(A56="","",G56*K56)</f>
        <v/>
      </c>
      <c r="N56" s="231">
        <f>IF(A56="","",IF(G56&lt;=H56,1,0))</f>
        <v/>
      </c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</row>
    <row r="57">
      <c r="A57" s="229" t="n"/>
      <c r="B57" s="230" t="n"/>
      <c r="C57" s="230" t="n"/>
      <c r="D57" s="229" t="n"/>
      <c r="E57" s="231">
        <f>IF(A57="","",SUMIFS(Compras!$F:$F,Compras!$D:$D,A57))</f>
        <v/>
      </c>
      <c r="F57" s="231">
        <f>IF(A57="","",SUMIFS(Ventas!$F:$F,Ventas!$D:$D,A57))</f>
        <v/>
      </c>
      <c r="G57" s="231">
        <f>IF(A57="","",D57+E57-F57)</f>
        <v/>
      </c>
      <c r="H57" s="231">
        <f>IFERROR(VLOOKUP(A57,Productos!$A$5:$I$59,7,FALSE),0)</f>
        <v/>
      </c>
      <c r="I57" s="230">
        <f>IF(A57="","",IF(G57&lt;=H57,"Reponer","Suficiente"))</f>
        <v/>
      </c>
      <c r="J57" s="225">
        <f>IFERROR(VLOOKUP(A57,Productos!$A$5:$I$59,6,FALSE),0)</f>
        <v/>
      </c>
      <c r="K57" s="225">
        <f>IFERROR(VLOOKUP(A57,Productos!$A$5:$I$59,5,FALSE),0)</f>
        <v/>
      </c>
      <c r="L57" s="225">
        <f>IF(A57="","",G57*J57)</f>
        <v/>
      </c>
      <c r="M57" s="225">
        <f>IF(A57="","",G57*K57)</f>
        <v/>
      </c>
      <c r="N57" s="231">
        <f>IF(A57="","",IF(G57&lt;=H57,1,0))</f>
        <v/>
      </c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</row>
    <row r="58">
      <c r="A58" s="229" t="n"/>
      <c r="B58" s="230" t="n"/>
      <c r="C58" s="230" t="n"/>
      <c r="D58" s="229" t="n"/>
      <c r="E58" s="231">
        <f>IF(A58="","",SUMIFS(Compras!$F:$F,Compras!$D:$D,A58))</f>
        <v/>
      </c>
      <c r="F58" s="231">
        <f>IF(A58="","",SUMIFS(Ventas!$F:$F,Ventas!$D:$D,A58))</f>
        <v/>
      </c>
      <c r="G58" s="231">
        <f>IF(A58="","",D58+E58-F58)</f>
        <v/>
      </c>
      <c r="H58" s="231">
        <f>IFERROR(VLOOKUP(A58,Productos!$A$5:$I$59,7,FALSE),0)</f>
        <v/>
      </c>
      <c r="I58" s="230">
        <f>IF(A58="","",IF(G58&lt;=H58,"Reponer","Suficiente"))</f>
        <v/>
      </c>
      <c r="J58" s="225">
        <f>IFERROR(VLOOKUP(A58,Productos!$A$5:$I$59,6,FALSE),0)</f>
        <v/>
      </c>
      <c r="K58" s="225">
        <f>IFERROR(VLOOKUP(A58,Productos!$A$5:$I$59,5,FALSE),0)</f>
        <v/>
      </c>
      <c r="L58" s="225">
        <f>IF(A58="","",G58*J58)</f>
        <v/>
      </c>
      <c r="M58" s="225">
        <f>IF(A58="","",G58*K58)</f>
        <v/>
      </c>
      <c r="N58" s="231">
        <f>IF(A58="","",IF(G58&lt;=H58,1,0))</f>
        <v/>
      </c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</row>
    <row r="59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</row>
    <row r="60">
      <c r="A60" s="192" t="n"/>
      <c r="B60" s="192" t="n"/>
      <c r="C60" s="192" t="n"/>
      <c r="D60" s="192" t="n"/>
      <c r="E60" s="192" t="n"/>
      <c r="F60" s="192" t="n"/>
      <c r="G60" s="192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</row>
    <row r="61">
      <c r="A61" s="192" t="n"/>
      <c r="B61" s="192" t="n"/>
      <c r="C61" s="192" t="n"/>
      <c r="D61" s="192" t="n"/>
      <c r="E61" s="192" t="n"/>
      <c r="F61" s="192" t="n"/>
      <c r="G61" s="192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</row>
    <row r="62">
      <c r="A62" s="192" t="n"/>
      <c r="B62" s="192" t="n"/>
      <c r="C62" s="192" t="n"/>
      <c r="D62" s="192" t="n"/>
      <c r="E62" s="192" t="n"/>
      <c r="F62" s="192" t="n"/>
      <c r="G62" s="192" t="n"/>
      <c r="H62" s="192" t="n"/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</row>
    <row r="63">
      <c r="A63" s="192" t="n"/>
      <c r="B63" s="192" t="n"/>
      <c r="C63" s="192" t="n"/>
      <c r="D63" s="192" t="n"/>
      <c r="E63" s="192" t="n"/>
      <c r="F63" s="192" t="n"/>
      <c r="G63" s="192" t="n"/>
      <c r="H63" s="192" t="n"/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</row>
    <row r="64">
      <c r="A64" s="192" t="n"/>
      <c r="B64" s="192" t="n"/>
      <c r="C64" s="192" t="n"/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</row>
    <row r="65">
      <c r="A65" s="192" t="n"/>
      <c r="B65" s="192" t="n"/>
      <c r="C65" s="192" t="n"/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</row>
    <row r="66">
      <c r="A66" s="192" t="n"/>
      <c r="B66" s="192" t="n"/>
      <c r="C66" s="192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</row>
    <row r="67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</row>
    <row r="68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</row>
    <row r="69">
      <c r="A69" s="192" t="n"/>
      <c r="B69" s="192" t="n"/>
      <c r="C69" s="192" t="n"/>
      <c r="D69" s="192" t="n"/>
      <c r="E69" s="192" t="n"/>
      <c r="F69" s="192" t="n"/>
      <c r="G69" s="192" t="n"/>
      <c r="H69" s="192" t="n"/>
      <c r="I69" s="192" t="n"/>
      <c r="J69" s="192" t="n"/>
      <c r="K69" s="192" t="n"/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</row>
    <row r="70">
      <c r="A70" s="192" t="n"/>
      <c r="B70" s="192" t="n"/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</row>
    <row r="7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</row>
    <row r="72">
      <c r="A72" s="192" t="n"/>
      <c r="B72" s="192" t="n"/>
      <c r="C72" s="192" t="n"/>
      <c r="D72" s="192" t="n"/>
      <c r="E72" s="192" t="n"/>
      <c r="F72" s="192" t="n"/>
      <c r="G72" s="192" t="n"/>
      <c r="H72" s="192" t="n"/>
      <c r="I72" s="192" t="n"/>
      <c r="J72" s="192" t="n"/>
      <c r="K72" s="192" t="n"/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</row>
    <row r="73">
      <c r="A73" s="192" t="n"/>
      <c r="B73" s="192" t="n"/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</row>
    <row r="74">
      <c r="A74" s="192" t="n"/>
      <c r="B74" s="192" t="n"/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</row>
    <row r="75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</row>
    <row r="76">
      <c r="A76" s="192" t="n"/>
      <c r="B76" s="192" t="n"/>
      <c r="C76" s="192" t="n"/>
      <c r="D76" s="192" t="n"/>
      <c r="E76" s="192" t="n"/>
      <c r="F76" s="192" t="n"/>
      <c r="G76" s="192" t="n"/>
      <c r="H76" s="192" t="n"/>
      <c r="I76" s="192" t="n"/>
      <c r="J76" s="192" t="n"/>
      <c r="K76" s="192" t="n"/>
      <c r="L76" s="192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</row>
    <row r="77">
      <c r="A77" s="192" t="n"/>
      <c r="B77" s="192" t="n"/>
      <c r="C77" s="192" t="n"/>
      <c r="D77" s="192" t="n"/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</row>
    <row r="78">
      <c r="A78" s="192" t="n"/>
      <c r="B78" s="192" t="n"/>
      <c r="C78" s="192" t="n"/>
      <c r="D78" s="192" t="n"/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</row>
    <row r="79">
      <c r="A79" s="192" t="n"/>
      <c r="B79" s="192" t="n"/>
      <c r="C79" s="192" t="n"/>
      <c r="D79" s="192" t="n"/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</row>
    <row r="80">
      <c r="A80" s="192" t="n"/>
      <c r="B80" s="192" t="n"/>
      <c r="C80" s="192" t="n"/>
      <c r="D80" s="192" t="n"/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</row>
    <row r="8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</row>
    <row r="82">
      <c r="A82" s="192" t="n"/>
      <c r="B82" s="192" t="n"/>
      <c r="C82" s="192" t="n"/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</row>
    <row r="83">
      <c r="A83" s="192" t="n"/>
      <c r="B83" s="192" t="n"/>
      <c r="C83" s="192" t="n"/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</row>
    <row r="84">
      <c r="A84" s="192" t="n"/>
      <c r="B84" s="192" t="n"/>
      <c r="C84" s="192" t="n"/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</row>
    <row r="85">
      <c r="A85" s="192" t="n"/>
      <c r="B85" s="192" t="n"/>
      <c r="C85" s="192" t="n"/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</row>
    <row r="86">
      <c r="A86" s="192" t="n"/>
      <c r="B86" s="192" t="n"/>
      <c r="C86" s="192" t="n"/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</row>
    <row r="87">
      <c r="A87" s="192" t="n"/>
      <c r="B87" s="192" t="n"/>
      <c r="C87" s="192" t="n"/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</row>
    <row r="88">
      <c r="A88" s="192" t="n"/>
      <c r="B88" s="192" t="n"/>
      <c r="C88" s="192" t="n"/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</row>
    <row r="89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</sheetData>
  <mergeCells count="2">
    <mergeCell ref="Q2:T2"/>
    <mergeCell ref="A2:P2"/>
  </mergeCells>
  <conditionalFormatting sqref="I8:I58">
    <cfRule type="expression" priority="1" dxfId="1">
      <formula>$I8="Reponer"</formula>
    </cfRule>
    <cfRule type="expression" priority="2" dxfId="0">
      <formula>$I8="Suficiente"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FFE95C0C"/>
    <outlinePr summaryBelow="1" summaryRight="1"/>
    <pageSetUpPr/>
  </sheetPr>
  <dimension ref="A1:Y14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1"/>
    <col width="20" customWidth="1" style="22" min="2" max="2"/>
    <col width="12" customWidth="1" style="22" min="3" max="3"/>
    <col width="16" customWidth="1" style="22" min="4" max="4"/>
    <col width="12" customWidth="1" style="22" min="5" max="7"/>
    <col width="3" customWidth="1" style="22" min="8" max="8"/>
    <col width="16" customWidth="1" style="22" min="9" max="10"/>
    <col width="14" customWidth="1" style="22" min="11" max="16"/>
    <col width="16" customWidth="1" style="22" min="17" max="17"/>
  </cols>
  <sheetData>
    <row r="1" ht="6" customHeight="1" s="22">
      <c r="A1" s="132" t="inlineStr">
        <is>
          <t>Control de caja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</row>
    <row r="2" ht="32" customHeight="1" s="22">
      <c r="A2" s="134" t="inlineStr">
        <is>
          <t>💵  CONTROL DE CAJA</t>
        </is>
      </c>
      <c r="Q2" s="135" t="inlineStr">
        <is>
          <t>Módulo Tesorería</t>
        </is>
      </c>
      <c r="U2" s="1" t="n"/>
      <c r="V2" s="1" t="n"/>
      <c r="W2" s="1" t="n"/>
      <c r="X2" s="1" t="n"/>
      <c r="Y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</row>
    <row r="4">
      <c r="A4" s="32" t="inlineStr">
        <is>
          <t>Lista los tipos de caja</t>
        </is>
      </c>
      <c r="C4" s="1" t="n"/>
      <c r="D4" s="32" t="inlineStr">
        <is>
          <t>Ingresa los saldos a mantener en caja</t>
        </is>
      </c>
      <c r="G4" s="1" t="n"/>
      <c r="H4" s="1" t="n"/>
      <c r="I4" s="1" t="n"/>
      <c r="J4" s="32" t="inlineStr">
        <is>
          <t>Resumen de caja</t>
        </is>
      </c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C5" s="1" t="n"/>
      <c r="G5" s="1" t="n"/>
      <c r="H5" s="1" t="n"/>
      <c r="I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45">
        <f>O7</f>
        <v/>
      </c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44" t="inlineStr">
        <is>
          <t>Nro.</t>
        </is>
      </c>
      <c r="B7" s="44" t="inlineStr">
        <is>
          <t>Tipo de Caja</t>
        </is>
      </c>
      <c r="C7" s="1" t="n"/>
      <c r="D7" s="44" t="inlineStr">
        <is>
          <t>Mínimo</t>
        </is>
      </c>
      <c r="E7" s="9" t="n">
        <v>500</v>
      </c>
      <c r="F7" s="1" t="n"/>
      <c r="G7" s="1" t="n"/>
      <c r="H7" s="1" t="n"/>
      <c r="I7" s="1" t="n"/>
      <c r="J7" s="44" t="inlineStr">
        <is>
          <t>SALDO TOTAL DE CAJA</t>
        </is>
      </c>
      <c r="O7" s="45">
        <f>SUM(K11:K15)</f>
        <v/>
      </c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229" t="inlineStr">
        <is>
          <t>001</t>
        </is>
      </c>
      <c r="B8" s="232" t="inlineStr">
        <is>
          <t>Efectivo</t>
        </is>
      </c>
      <c r="C8" s="192" t="n"/>
      <c r="D8" s="233" t="inlineStr">
        <is>
          <t>Máximo</t>
        </is>
      </c>
      <c r="E8" s="234" t="n">
        <v>4500</v>
      </c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</row>
    <row r="9">
      <c r="A9" s="229" t="inlineStr">
        <is>
          <t>002</t>
        </is>
      </c>
      <c r="B9" s="232" t="inlineStr">
        <is>
          <t>Banco</t>
        </is>
      </c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</row>
    <row r="10">
      <c r="A10" s="229" t="inlineStr">
        <is>
          <t>003</t>
        </is>
      </c>
      <c r="B10" s="232" t="inlineStr">
        <is>
          <t>Mercado Pago</t>
        </is>
      </c>
      <c r="C10" s="192" t="n"/>
      <c r="D10" s="192" t="n"/>
      <c r="E10" s="192" t="n"/>
      <c r="F10" s="192" t="n"/>
      <c r="G10" s="192" t="n"/>
      <c r="H10" s="192" t="n"/>
      <c r="I10" s="192" t="n"/>
      <c r="J10" s="233" t="inlineStr">
        <is>
          <t>TIPO DE CAJA</t>
        </is>
      </c>
      <c r="K10" s="233" t="inlineStr">
        <is>
          <t>SALDO</t>
        </is>
      </c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</row>
    <row r="11">
      <c r="A11" s="229" t="inlineStr">
        <is>
          <t>004</t>
        </is>
      </c>
      <c r="B11" s="232" t="inlineStr">
        <is>
          <t>PayPal</t>
        </is>
      </c>
      <c r="C11" s="192" t="n"/>
      <c r="D11" s="192" t="n"/>
      <c r="E11" s="192" t="n"/>
      <c r="F11" s="192" t="n"/>
      <c r="G11" s="192" t="n"/>
      <c r="H11" s="192" t="n"/>
      <c r="I11" s="192" t="n"/>
      <c r="J11" s="230">
        <f>IF(B8="","","Saldo en "&amp;B8)</f>
        <v/>
      </c>
      <c r="K11" s="225">
        <f>SUMIF($C$18:$C$89,A8,$D$18:$D$89)-SUMIF($C$18:$C$89,A8,$E$18:$E$89)</f>
        <v/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</row>
    <row r="12">
      <c r="A12" s="229" t="inlineStr">
        <is>
          <t>005</t>
        </is>
      </c>
      <c r="B12" s="232" t="inlineStr">
        <is>
          <t>Otros</t>
        </is>
      </c>
      <c r="C12" s="192" t="n"/>
      <c r="D12" s="192" t="n"/>
      <c r="E12" s="192" t="n"/>
      <c r="F12" s="192" t="n"/>
      <c r="G12" s="192" t="n"/>
      <c r="H12" s="192" t="n"/>
      <c r="I12" s="192" t="n"/>
      <c r="J12" s="230">
        <f>IF(B9="","","Saldo en "&amp;B9)</f>
        <v/>
      </c>
      <c r="K12" s="225">
        <f>SUMIF($C$18:$C$89,A9,$D$18:$D$89)-SUMIF($C$18:$C$89,A9,$E$18:$E$89)</f>
        <v/>
      </c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</row>
    <row r="13">
      <c r="A13" s="192" t="n"/>
      <c r="B13" s="192" t="n"/>
      <c r="C13" s="192" t="n"/>
      <c r="D13" s="192" t="n"/>
      <c r="E13" s="192" t="n"/>
      <c r="F13" s="192" t="n"/>
      <c r="G13" s="192" t="n"/>
      <c r="H13" s="192" t="n"/>
      <c r="I13" s="192" t="n"/>
      <c r="J13" s="230">
        <f>IF(B10="","","Saldo en "&amp;B10)</f>
        <v/>
      </c>
      <c r="K13" s="225">
        <f>SUMIF($C$18:$C$89,A10,$D$18:$D$89)-SUMIF($C$18:$C$89,A10,$E$18:$E$89)</f>
        <v/>
      </c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</row>
    <row r="14">
      <c r="A14" s="235" t="inlineStr">
        <is>
          <t>Ingresa los movimientos de caja diarios</t>
        </is>
      </c>
      <c r="B14" s="214" t="n"/>
      <c r="C14" s="214" t="n"/>
      <c r="D14" s="214" t="n"/>
      <c r="E14" s="214" t="n"/>
      <c r="F14" s="214" t="n"/>
      <c r="G14" s="214" t="n"/>
      <c r="H14" s="192" t="n"/>
      <c r="I14" s="192" t="n"/>
      <c r="J14" s="230">
        <f>IF(B11="","","Saldo en "&amp;B11)</f>
        <v/>
      </c>
      <c r="K14" s="225">
        <f>SUMIF($C$18:$C$89,A11,$D$18:$D$89)-SUMIF($C$18:$C$89,A11,$E$18:$E$89)</f>
        <v/>
      </c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</row>
    <row r="15">
      <c r="A15" s="214" t="n"/>
      <c r="B15" s="214" t="n"/>
      <c r="C15" s="214" t="n"/>
      <c r="D15" s="214" t="n"/>
      <c r="E15" s="214" t="n"/>
      <c r="F15" s="214" t="n"/>
      <c r="G15" s="214" t="n"/>
      <c r="H15" s="192" t="n"/>
      <c r="I15" s="192" t="n"/>
      <c r="J15" s="230">
        <f>IF(B12="","","Saldo en "&amp;B12)</f>
        <v/>
      </c>
      <c r="K15" s="225">
        <f>SUMIF($C$18:$C$89,A12,$D$18:$D$89)-SUMIF($C$18:$C$89,A12,$E$18:$E$89)</f>
        <v/>
      </c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</row>
    <row r="16">
      <c r="A16" s="192" t="n"/>
      <c r="B16" s="192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2" t="n"/>
      <c r="L16" s="192" t="n"/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</row>
    <row r="17">
      <c r="A17" s="233" t="inlineStr">
        <is>
          <t>FECHA</t>
        </is>
      </c>
      <c r="B17" s="233" t="inlineStr">
        <is>
          <t>CONCEPTO</t>
        </is>
      </c>
      <c r="C17" s="233" t="inlineStr">
        <is>
          <t>CÓDIGO</t>
        </is>
      </c>
      <c r="D17" s="233" t="inlineStr">
        <is>
          <t>ENTRADAS</t>
        </is>
      </c>
      <c r="E17" s="233" t="inlineStr">
        <is>
          <t>SALIDAS</t>
        </is>
      </c>
      <c r="F17" s="233" t="inlineStr">
        <is>
          <t>SALDO</t>
        </is>
      </c>
      <c r="G17" s="233" t="inlineStr">
        <is>
          <t>OBS.</t>
        </is>
      </c>
      <c r="H17" s="192" t="n"/>
      <c r="I17" s="192" t="n"/>
      <c r="J17" s="192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</row>
    <row r="18">
      <c r="A18" s="236" t="n">
        <v>46113</v>
      </c>
      <c r="B18" s="232" t="inlineStr">
        <is>
          <t>Saldo inicial</t>
        </is>
      </c>
      <c r="C18" s="229" t="inlineStr">
        <is>
          <t>Ingreso</t>
        </is>
      </c>
      <c r="D18" s="237" t="n">
        <v>500000</v>
      </c>
      <c r="E18" s="238" t="n"/>
      <c r="F18" s="225">
        <f>IF(C18="","",D18-E18)</f>
        <v/>
      </c>
      <c r="G18" s="232" t="n"/>
      <c r="H18" s="192" t="n"/>
      <c r="I18" s="192" t="n"/>
      <c r="J18" s="239" t="inlineStr">
        <is>
          <t>Advertencia</t>
        </is>
      </c>
      <c r="K18" s="214" t="n"/>
      <c r="L18" s="214" t="n"/>
      <c r="M18" s="214" t="n"/>
      <c r="N18" s="214" t="n"/>
      <c r="O18" s="214" t="n"/>
      <c r="P18" s="214" t="n"/>
      <c r="Q18" s="214" t="n"/>
      <c r="R18" s="192" t="n"/>
      <c r="S18" s="192" t="n"/>
      <c r="T18" s="1" t="n"/>
      <c r="U18" s="1" t="n"/>
      <c r="V18" s="1" t="n"/>
      <c r="W18" s="1" t="n"/>
      <c r="X18" s="1" t="n"/>
      <c r="Y18" s="1" t="n"/>
    </row>
    <row r="19">
      <c r="A19" s="236" t="n">
        <v>46114</v>
      </c>
      <c r="B19" s="232" t="inlineStr">
        <is>
          <t>Cobro factura C001</t>
        </is>
      </c>
      <c r="C19" s="229" t="inlineStr">
        <is>
          <t>Ingreso</t>
        </is>
      </c>
      <c r="D19" s="237" t="n">
        <v>37500</v>
      </c>
      <c r="E19" s="238" t="n"/>
      <c r="F19" s="225">
        <f>IF(C19="","",F18+D19-E19)</f>
        <v/>
      </c>
      <c r="G19" s="232" t="n"/>
      <c r="H19" s="192" t="n"/>
      <c r="I19" s="192" t="n"/>
      <c r="J19" s="240">
        <f>IF(E8="","",IF(O7&gt;E8,"Se superó el máximo a mantener en caja en un monto equivalente a $"&amp;TEXT(O7-E8,"#,##0.00"),IF(O7&lt;E7,"La caja es inferior a su mínimo tolerable en un monto equivalente a $"&amp;TEXT(E7-O7,"#,##0.00"),"Caja dentro de rango")))</f>
        <v/>
      </c>
      <c r="K19" s="214" t="n"/>
      <c r="L19" s="214" t="n"/>
      <c r="M19" s="214" t="n"/>
      <c r="N19" s="214" t="n"/>
      <c r="O19" s="214" t="n"/>
      <c r="P19" s="214" t="n"/>
      <c r="Q19" s="214" t="n"/>
      <c r="R19" s="192" t="n"/>
      <c r="S19" s="192" t="n"/>
      <c r="T19" s="1" t="n"/>
      <c r="U19" s="1" t="n"/>
      <c r="V19" s="1" t="n"/>
      <c r="W19" s="1" t="n"/>
      <c r="X19" s="1" t="n"/>
      <c r="Y19" s="1" t="n"/>
    </row>
    <row r="20">
      <c r="A20" s="236" t="n">
        <v>46115</v>
      </c>
      <c r="B20" s="232" t="inlineStr">
        <is>
          <t>Pago proveedor Dist. Norte</t>
        </is>
      </c>
      <c r="C20" s="229" t="inlineStr">
        <is>
          <t>Egreso</t>
        </is>
      </c>
      <c r="D20" s="238" t="n"/>
      <c r="E20" s="237" t="n">
        <v>90000</v>
      </c>
      <c r="F20" s="225">
        <f>IF(C20="","",F19+D20-E20)</f>
        <v/>
      </c>
      <c r="G20" s="232" t="n"/>
      <c r="H20" s="192" t="n"/>
      <c r="I20" s="192" t="n"/>
      <c r="J20" s="214" t="n"/>
      <c r="K20" s="214" t="n"/>
      <c r="L20" s="214" t="n"/>
      <c r="M20" s="214" t="n"/>
      <c r="N20" s="214" t="n"/>
      <c r="O20" s="214" t="n"/>
      <c r="P20" s="214" t="n"/>
      <c r="Q20" s="214" t="n"/>
      <c r="R20" s="192" t="n"/>
      <c r="S20" s="192" t="n"/>
      <c r="T20" s="1" t="n"/>
      <c r="U20" s="1" t="n"/>
      <c r="V20" s="1" t="n"/>
      <c r="W20" s="1" t="n"/>
      <c r="X20" s="1" t="n"/>
      <c r="Y20" s="1" t="n"/>
    </row>
    <row r="21">
      <c r="A21" s="236" t="n">
        <v>46117</v>
      </c>
      <c r="B21" s="232" t="inlineStr">
        <is>
          <t>Cobro factura C002</t>
        </is>
      </c>
      <c r="C21" s="229" t="inlineStr">
        <is>
          <t>Ingreso</t>
        </is>
      </c>
      <c r="D21" s="237" t="n">
        <v>75000</v>
      </c>
      <c r="E21" s="238" t="n"/>
      <c r="F21" s="225">
        <f>IF(C21="","",F20+D21-E21)</f>
        <v/>
      </c>
      <c r="G21" s="232" t="n"/>
      <c r="H21" s="192" t="n"/>
      <c r="I21" s="192" t="n"/>
      <c r="J21" s="192" t="n"/>
      <c r="K21" s="192" t="n"/>
      <c r="L21" s="192" t="n"/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</row>
    <row r="22">
      <c r="A22" s="236" t="n">
        <v>46119</v>
      </c>
      <c r="B22" s="232" t="inlineStr">
        <is>
          <t>Pago arriendo local</t>
        </is>
      </c>
      <c r="C22" s="229" t="inlineStr">
        <is>
          <t>Egreso</t>
        </is>
      </c>
      <c r="D22" s="238" t="n"/>
      <c r="E22" s="237" t="n">
        <v>350000</v>
      </c>
      <c r="F22" s="225">
        <f>IF(C22="","",F21+D22-E22)</f>
        <v/>
      </c>
      <c r="G22" s="232" t="n"/>
      <c r="H22" s="192" t="n"/>
      <c r="I22" s="192" t="n"/>
      <c r="J22" s="192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</row>
    <row r="23">
      <c r="A23" s="236" t="n">
        <v>46120</v>
      </c>
      <c r="B23" s="232" t="inlineStr">
        <is>
          <t>Cobro contado</t>
        </is>
      </c>
      <c r="C23" s="229" t="inlineStr">
        <is>
          <t>Ingreso</t>
        </is>
      </c>
      <c r="D23" s="237" t="n">
        <v>50000</v>
      </c>
      <c r="E23" s="238" t="n"/>
      <c r="F23" s="225">
        <f>IF(C23="","",F22+D23-E23)</f>
        <v/>
      </c>
      <c r="G23" s="232" t="n"/>
      <c r="H23" s="192" t="n"/>
      <c r="I23" s="192" t="n"/>
      <c r="J23" s="192" t="n"/>
      <c r="K23" s="192" t="n"/>
      <c r="L23" s="192" t="n"/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</row>
    <row r="24">
      <c r="A24" s="236" t="n">
        <v>46122</v>
      </c>
      <c r="B24" s="232" t="inlineStr">
        <is>
          <t>Servicios básicos</t>
        </is>
      </c>
      <c r="C24" s="229" t="inlineStr">
        <is>
          <t>Egreso</t>
        </is>
      </c>
      <c r="D24" s="238" t="n"/>
      <c r="E24" s="237" t="n">
        <v>45000</v>
      </c>
      <c r="F24" s="225">
        <f>IF(C24="","",F23+D24-E24)</f>
        <v/>
      </c>
      <c r="G24" s="232" t="n"/>
      <c r="H24" s="192" t="n"/>
      <c r="I24" s="192" t="n"/>
      <c r="J24" s="192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</row>
    <row r="25">
      <c r="A25" s="236" t="n">
        <v>46124</v>
      </c>
      <c r="B25" s="232" t="inlineStr">
        <is>
          <t>Cobro factura C001</t>
        </is>
      </c>
      <c r="C25" s="229" t="inlineStr">
        <is>
          <t>Ingreso</t>
        </is>
      </c>
      <c r="D25" s="237" t="n">
        <v>25000</v>
      </c>
      <c r="E25" s="238" t="n"/>
      <c r="F25" s="225">
        <f>IF(C25="","",F24+D25-E25)</f>
        <v/>
      </c>
      <c r="G25" s="232" t="n"/>
      <c r="H25" s="192" t="n"/>
      <c r="I25" s="192" t="n"/>
      <c r="J25" s="192" t="n"/>
      <c r="K25" s="192" t="n"/>
      <c r="L25" s="192" t="n"/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</row>
    <row r="26">
      <c r="A26" s="236" t="n">
        <v>46126</v>
      </c>
      <c r="B26" s="232" t="inlineStr">
        <is>
          <t>Compra insumos</t>
        </is>
      </c>
      <c r="C26" s="229" t="inlineStr">
        <is>
          <t>Egreso</t>
        </is>
      </c>
      <c r="D26" s="238" t="n"/>
      <c r="E26" s="237" t="n">
        <v>22400</v>
      </c>
      <c r="F26" s="225">
        <f>IF(C26="","",F25+D26-E26)</f>
        <v/>
      </c>
      <c r="G26" s="232" t="n"/>
      <c r="H26" s="192" t="n"/>
      <c r="I26" s="192" t="n"/>
      <c r="J26" s="192" t="n"/>
      <c r="K26" s="192" t="n"/>
      <c r="L26" s="192" t="n"/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</row>
    <row r="27">
      <c r="A27" s="236" t="n">
        <v>46127</v>
      </c>
      <c r="B27" s="232" t="inlineStr">
        <is>
          <t>Venta contado</t>
        </is>
      </c>
      <c r="C27" s="229" t="inlineStr">
        <is>
          <t>Ingreso</t>
        </is>
      </c>
      <c r="D27" s="237" t="n">
        <v>18000</v>
      </c>
      <c r="E27" s="238" t="n"/>
      <c r="F27" s="225">
        <f>IF(C27="","",F26+D27-E27)</f>
        <v/>
      </c>
      <c r="G27" s="23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</row>
    <row r="28">
      <c r="A28" s="229" t="n"/>
      <c r="B28" s="232" t="n"/>
      <c r="C28" s="229" t="n"/>
      <c r="D28" s="238" t="n"/>
      <c r="E28" s="238" t="n"/>
      <c r="F28" s="225">
        <f>IF(C28="","",F27+D28-E28)</f>
        <v/>
      </c>
      <c r="G28" s="23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</row>
    <row r="29">
      <c r="A29" s="229" t="n"/>
      <c r="B29" s="232" t="n"/>
      <c r="C29" s="229" t="n"/>
      <c r="D29" s="238" t="n"/>
      <c r="E29" s="238" t="n"/>
      <c r="F29" s="225">
        <f>IF(C29="","",F28+D29-E29)</f>
        <v/>
      </c>
      <c r="G29" s="232" t="n"/>
      <c r="H29" s="192" t="n"/>
      <c r="I29" s="192" t="n"/>
      <c r="J29" s="192" t="n"/>
      <c r="K29" s="192" t="n"/>
      <c r="L29" s="192" t="n"/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</row>
    <row r="30">
      <c r="A30" s="229" t="n"/>
      <c r="B30" s="232" t="n"/>
      <c r="C30" s="229" t="n"/>
      <c r="D30" s="238" t="n"/>
      <c r="E30" s="238" t="n"/>
      <c r="F30" s="225">
        <f>IF(C30="","",F29+D30-E30)</f>
        <v/>
      </c>
      <c r="G30" s="232" t="n"/>
      <c r="H30" s="192" t="n"/>
      <c r="I30" s="192" t="n"/>
      <c r="J30" s="192" t="n"/>
      <c r="K30" s="192" t="n"/>
      <c r="L30" s="192" t="n"/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</row>
    <row r="31">
      <c r="A31" s="229" t="n"/>
      <c r="B31" s="232" t="n"/>
      <c r="C31" s="229" t="n"/>
      <c r="D31" s="238" t="n"/>
      <c r="E31" s="238" t="n"/>
      <c r="F31" s="225">
        <f>IF(C31="","",F30+D31-E31)</f>
        <v/>
      </c>
      <c r="G31" s="232" t="n"/>
      <c r="H31" s="192" t="n"/>
      <c r="I31" s="192" t="n"/>
      <c r="J31" s="192" t="n"/>
      <c r="K31" s="192" t="n"/>
      <c r="L31" s="192" t="n"/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</row>
    <row r="32">
      <c r="A32" s="229" t="n"/>
      <c r="B32" s="232" t="n"/>
      <c r="C32" s="229" t="n"/>
      <c r="D32" s="238" t="n"/>
      <c r="E32" s="238" t="n"/>
      <c r="F32" s="225">
        <f>IF(C32="","",F31+D32-E32)</f>
        <v/>
      </c>
      <c r="G32" s="23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</row>
    <row r="33">
      <c r="A33" s="229" t="n"/>
      <c r="B33" s="232" t="n"/>
      <c r="C33" s="229" t="n"/>
      <c r="D33" s="238" t="n"/>
      <c r="E33" s="238" t="n"/>
      <c r="F33" s="225">
        <f>IF(C33="","",F32+D33-E33)</f>
        <v/>
      </c>
      <c r="G33" s="232" t="n"/>
      <c r="H33" s="192" t="n"/>
      <c r="I33" s="192" t="n"/>
      <c r="J33" s="192" t="n"/>
      <c r="K33" s="192" t="n"/>
      <c r="L33" s="192" t="n"/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</row>
    <row r="34">
      <c r="A34" s="229" t="n"/>
      <c r="B34" s="232" t="n"/>
      <c r="C34" s="229" t="n"/>
      <c r="D34" s="238" t="n"/>
      <c r="E34" s="238" t="n"/>
      <c r="F34" s="225">
        <f>IF(C34="","",F33+D34-E34)</f>
        <v/>
      </c>
      <c r="G34" s="23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</row>
    <row r="35">
      <c r="A35" s="229" t="n"/>
      <c r="B35" s="232" t="n"/>
      <c r="C35" s="229" t="n"/>
      <c r="D35" s="238" t="n"/>
      <c r="E35" s="238" t="n"/>
      <c r="F35" s="225">
        <f>IF(C35="","",F34+D35-E35)</f>
        <v/>
      </c>
      <c r="G35" s="232" t="n"/>
      <c r="H35" s="192" t="n"/>
      <c r="I35" s="192" t="n"/>
      <c r="J35" s="192" t="n"/>
      <c r="K35" s="192" t="n"/>
      <c r="L35" s="192" t="n"/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</row>
    <row r="36">
      <c r="A36" s="229" t="n"/>
      <c r="B36" s="232" t="n"/>
      <c r="C36" s="229" t="n"/>
      <c r="D36" s="238" t="n"/>
      <c r="E36" s="238" t="n"/>
      <c r="F36" s="225">
        <f>IF(C36="","",F35+D36-E36)</f>
        <v/>
      </c>
      <c r="G36" s="232" t="n"/>
      <c r="H36" s="192" t="n"/>
      <c r="I36" s="192" t="n"/>
      <c r="J36" s="192" t="n"/>
      <c r="K36" s="192" t="n"/>
      <c r="L36" s="192" t="n"/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</row>
    <row r="37">
      <c r="A37" s="229" t="n"/>
      <c r="B37" s="232" t="n"/>
      <c r="C37" s="229" t="n"/>
      <c r="D37" s="238" t="n"/>
      <c r="E37" s="238" t="n"/>
      <c r="F37" s="225">
        <f>IF(C37="","",F36+D37-E37)</f>
        <v/>
      </c>
      <c r="G37" s="232" t="n"/>
      <c r="H37" s="192" t="n"/>
      <c r="I37" s="192" t="n"/>
      <c r="J37" s="192" t="n"/>
      <c r="K37" s="192" t="n"/>
      <c r="L37" s="192" t="n"/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</row>
    <row r="38">
      <c r="A38" s="229" t="n"/>
      <c r="B38" s="232" t="n"/>
      <c r="C38" s="229" t="n"/>
      <c r="D38" s="238" t="n"/>
      <c r="E38" s="238" t="n"/>
      <c r="F38" s="225">
        <f>IF(C38="","",F37+D38-E38)</f>
        <v/>
      </c>
      <c r="G38" s="232" t="n"/>
      <c r="H38" s="192" t="n"/>
      <c r="I38" s="192" t="n"/>
      <c r="J38" s="192" t="n"/>
      <c r="K38" s="192" t="n"/>
      <c r="L38" s="192" t="n"/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</row>
    <row r="39">
      <c r="A39" s="229" t="n"/>
      <c r="B39" s="232" t="n"/>
      <c r="C39" s="229" t="n"/>
      <c r="D39" s="238" t="n"/>
      <c r="E39" s="238" t="n"/>
      <c r="F39" s="225">
        <f>IF(C39="","",F38+D39-E39)</f>
        <v/>
      </c>
      <c r="G39" s="232" t="n"/>
      <c r="H39" s="192" t="n"/>
      <c r="I39" s="192" t="n"/>
      <c r="J39" s="192" t="n"/>
      <c r="K39" s="192" t="n"/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</row>
    <row r="40">
      <c r="A40" s="229" t="n"/>
      <c r="B40" s="232" t="n"/>
      <c r="C40" s="229" t="n"/>
      <c r="D40" s="238" t="n"/>
      <c r="E40" s="238" t="n"/>
      <c r="F40" s="225">
        <f>IF(C40="","",F39+D40-E40)</f>
        <v/>
      </c>
      <c r="G40" s="232" t="n"/>
      <c r="H40" s="192" t="n"/>
      <c r="I40" s="192" t="n"/>
      <c r="J40" s="192" t="n"/>
      <c r="K40" s="192" t="n"/>
      <c r="L40" s="192" t="n"/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</row>
    <row r="41">
      <c r="A41" s="229" t="n"/>
      <c r="B41" s="232" t="n"/>
      <c r="C41" s="229" t="n"/>
      <c r="D41" s="238" t="n"/>
      <c r="E41" s="238" t="n"/>
      <c r="F41" s="225">
        <f>IF(C41="","",F40+D41-E41)</f>
        <v/>
      </c>
      <c r="G41" s="232" t="n"/>
      <c r="H41" s="192" t="n"/>
      <c r="I41" s="192" t="n"/>
      <c r="J41" s="192" t="n"/>
      <c r="K41" s="192" t="n"/>
      <c r="L41" s="192" t="n"/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</row>
    <row r="42">
      <c r="A42" s="229" t="n"/>
      <c r="B42" s="232" t="n"/>
      <c r="C42" s="229" t="n"/>
      <c r="D42" s="238" t="n"/>
      <c r="E42" s="238" t="n"/>
      <c r="F42" s="225">
        <f>IF(C42="","",F41+D42-E42)</f>
        <v/>
      </c>
      <c r="G42" s="232" t="n"/>
      <c r="H42" s="192" t="n"/>
      <c r="I42" s="192" t="n"/>
      <c r="J42" s="192" t="n"/>
      <c r="K42" s="192" t="n"/>
      <c r="L42" s="192" t="n"/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</row>
    <row r="43">
      <c r="A43" s="229" t="n"/>
      <c r="B43" s="232" t="n"/>
      <c r="C43" s="229" t="n"/>
      <c r="D43" s="238" t="n"/>
      <c r="E43" s="238" t="n"/>
      <c r="F43" s="225">
        <f>IF(C43="","",F42+D43-E43)</f>
        <v/>
      </c>
      <c r="G43" s="23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</row>
    <row r="44">
      <c r="A44" s="229" t="n"/>
      <c r="B44" s="232" t="n"/>
      <c r="C44" s="229" t="n"/>
      <c r="D44" s="238" t="n"/>
      <c r="E44" s="238" t="n"/>
      <c r="F44" s="225">
        <f>IF(C44="","",F43+D44-E44)</f>
        <v/>
      </c>
      <c r="G44" s="232" t="n"/>
      <c r="H44" s="192" t="n"/>
      <c r="I44" s="192" t="n"/>
      <c r="J44" s="192" t="n"/>
      <c r="K44" s="192" t="n"/>
      <c r="L44" s="192" t="n"/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</row>
    <row r="45">
      <c r="A45" s="229" t="n"/>
      <c r="B45" s="232" t="n"/>
      <c r="C45" s="229" t="n"/>
      <c r="D45" s="238" t="n"/>
      <c r="E45" s="238" t="n"/>
      <c r="F45" s="225">
        <f>IF(C45="","",F44+D45-E45)</f>
        <v/>
      </c>
      <c r="G45" s="23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</row>
    <row r="46">
      <c r="A46" s="229" t="n"/>
      <c r="B46" s="232" t="n"/>
      <c r="C46" s="229" t="n"/>
      <c r="D46" s="238" t="n"/>
      <c r="E46" s="238" t="n"/>
      <c r="F46" s="225">
        <f>IF(C46="","",F45+D46-E46)</f>
        <v/>
      </c>
      <c r="G46" s="23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</row>
    <row r="47">
      <c r="A47" s="229" t="n"/>
      <c r="B47" s="232" t="n"/>
      <c r="C47" s="229" t="n"/>
      <c r="D47" s="238" t="n"/>
      <c r="E47" s="238" t="n"/>
      <c r="F47" s="225">
        <f>IF(C47="","",F46+D47-E47)</f>
        <v/>
      </c>
      <c r="G47" s="23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</row>
    <row r="48">
      <c r="A48" s="229" t="n"/>
      <c r="B48" s="232" t="n"/>
      <c r="C48" s="229" t="n"/>
      <c r="D48" s="238" t="n"/>
      <c r="E48" s="238" t="n"/>
      <c r="F48" s="225">
        <f>IF(C48="","",F47+D48-E48)</f>
        <v/>
      </c>
      <c r="G48" s="23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</row>
    <row r="49">
      <c r="A49" s="229" t="n"/>
      <c r="B49" s="232" t="n"/>
      <c r="C49" s="229" t="n"/>
      <c r="D49" s="238" t="n"/>
      <c r="E49" s="238" t="n"/>
      <c r="F49" s="225">
        <f>IF(C49="","",F48+D49-E49)</f>
        <v/>
      </c>
      <c r="G49" s="23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</row>
    <row r="50">
      <c r="A50" s="229" t="n"/>
      <c r="B50" s="232" t="n"/>
      <c r="C50" s="229" t="n"/>
      <c r="D50" s="238" t="n"/>
      <c r="E50" s="238" t="n"/>
      <c r="F50" s="225">
        <f>IF(C50="","",F49+D50-E50)</f>
        <v/>
      </c>
      <c r="G50" s="23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</row>
    <row r="51">
      <c r="A51" s="229" t="n"/>
      <c r="B51" s="232" t="n"/>
      <c r="C51" s="229" t="n"/>
      <c r="D51" s="238" t="n"/>
      <c r="E51" s="238" t="n"/>
      <c r="F51" s="225">
        <f>IF(C51="","",F50+D51-E51)</f>
        <v/>
      </c>
      <c r="G51" s="23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</row>
    <row r="52">
      <c r="A52" s="229" t="n"/>
      <c r="B52" s="232" t="n"/>
      <c r="C52" s="229" t="n"/>
      <c r="D52" s="238" t="n"/>
      <c r="E52" s="238" t="n"/>
      <c r="F52" s="225">
        <f>IF(C52="","",F51+D52-E52)</f>
        <v/>
      </c>
      <c r="G52" s="23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</row>
    <row r="53">
      <c r="A53" s="229" t="n"/>
      <c r="B53" s="232" t="n"/>
      <c r="C53" s="229" t="n"/>
      <c r="D53" s="238" t="n"/>
      <c r="E53" s="238" t="n"/>
      <c r="F53" s="225">
        <f>IF(C53="","",F52+D53-E53)</f>
        <v/>
      </c>
      <c r="G53" s="23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</row>
    <row r="54">
      <c r="A54" s="229" t="n"/>
      <c r="B54" s="232" t="n"/>
      <c r="C54" s="229" t="n"/>
      <c r="D54" s="238" t="n"/>
      <c r="E54" s="238" t="n"/>
      <c r="F54" s="225">
        <f>IF(C54="","",F53+D54-E54)</f>
        <v/>
      </c>
      <c r="G54" s="232" t="n"/>
      <c r="H54" s="192" t="n"/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</row>
    <row r="55">
      <c r="A55" s="229" t="n"/>
      <c r="B55" s="232" t="n"/>
      <c r="C55" s="229" t="n"/>
      <c r="D55" s="238" t="n"/>
      <c r="E55" s="238" t="n"/>
      <c r="F55" s="225">
        <f>IF(C55="","",F54+D55-E55)</f>
        <v/>
      </c>
      <c r="G55" s="232" t="n"/>
      <c r="H55" s="192" t="n"/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</row>
    <row r="56">
      <c r="A56" s="229" t="n"/>
      <c r="B56" s="232" t="n"/>
      <c r="C56" s="229" t="n"/>
      <c r="D56" s="238" t="n"/>
      <c r="E56" s="238" t="n"/>
      <c r="F56" s="225">
        <f>IF(C56="","",F55+D56-E56)</f>
        <v/>
      </c>
      <c r="G56" s="23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</row>
    <row r="57">
      <c r="A57" s="229" t="n"/>
      <c r="B57" s="232" t="n"/>
      <c r="C57" s="229" t="n"/>
      <c r="D57" s="238" t="n"/>
      <c r="E57" s="238" t="n"/>
      <c r="F57" s="225">
        <f>IF(C57="","",F56+D57-E57)</f>
        <v/>
      </c>
      <c r="G57" s="23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</row>
    <row r="58">
      <c r="A58" s="229" t="n"/>
      <c r="B58" s="232" t="n"/>
      <c r="C58" s="229" t="n"/>
      <c r="D58" s="238" t="n"/>
      <c r="E58" s="238" t="n"/>
      <c r="F58" s="225">
        <f>IF(C58="","",F57+D58-E58)</f>
        <v/>
      </c>
      <c r="G58" s="232" t="n"/>
      <c r="H58" s="192" t="n"/>
      <c r="I58" s="192" t="n"/>
      <c r="J58" s="192" t="n"/>
      <c r="K58" s="192" t="n"/>
      <c r="L58" s="192" t="n"/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</row>
    <row r="59">
      <c r="A59" s="229" t="n"/>
      <c r="B59" s="232" t="n"/>
      <c r="C59" s="229" t="n"/>
      <c r="D59" s="238" t="n"/>
      <c r="E59" s="238" t="n"/>
      <c r="F59" s="225">
        <f>IF(C59="","",F58+D59-E59)</f>
        <v/>
      </c>
      <c r="G59" s="23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</row>
    <row r="60">
      <c r="A60" s="229" t="n"/>
      <c r="B60" s="232" t="n"/>
      <c r="C60" s="229" t="n"/>
      <c r="D60" s="238" t="n"/>
      <c r="E60" s="238" t="n"/>
      <c r="F60" s="225">
        <f>IF(C60="","",F59+D60-E60)</f>
        <v/>
      </c>
      <c r="G60" s="232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</row>
    <row r="61">
      <c r="A61" s="229" t="n"/>
      <c r="B61" s="232" t="n"/>
      <c r="C61" s="229" t="n"/>
      <c r="D61" s="238" t="n"/>
      <c r="E61" s="238" t="n"/>
      <c r="F61" s="225">
        <f>IF(C61="","",F60+D61-E61)</f>
        <v/>
      </c>
      <c r="G61" s="232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</row>
    <row r="62">
      <c r="A62" s="229" t="n"/>
      <c r="B62" s="232" t="n"/>
      <c r="C62" s="229" t="n"/>
      <c r="D62" s="238" t="n"/>
      <c r="E62" s="238" t="n"/>
      <c r="F62" s="225">
        <f>IF(C62="","",F61+D62-E62)</f>
        <v/>
      </c>
      <c r="G62" s="232" t="n"/>
      <c r="H62" s="192" t="n"/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</row>
    <row r="63">
      <c r="A63" s="229" t="n"/>
      <c r="B63" s="232" t="n"/>
      <c r="C63" s="229" t="n"/>
      <c r="D63" s="238" t="n"/>
      <c r="E63" s="238" t="n"/>
      <c r="F63" s="225">
        <f>IF(C63="","",F62+D63-E63)</f>
        <v/>
      </c>
      <c r="G63" s="232" t="n"/>
      <c r="H63" s="192" t="n"/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</row>
    <row r="64">
      <c r="A64" s="229" t="n"/>
      <c r="B64" s="232" t="n"/>
      <c r="C64" s="229" t="n"/>
      <c r="D64" s="238" t="n"/>
      <c r="E64" s="238" t="n"/>
      <c r="F64" s="225">
        <f>IF(C64="","",F63+D64-E64)</f>
        <v/>
      </c>
      <c r="G64" s="232" t="n"/>
      <c r="H64" s="192" t="n"/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</row>
    <row r="65">
      <c r="A65" s="229" t="n"/>
      <c r="B65" s="232" t="n"/>
      <c r="C65" s="229" t="n"/>
      <c r="D65" s="238" t="n"/>
      <c r="E65" s="238" t="n"/>
      <c r="F65" s="225">
        <f>IF(C65="","",F64+D65-E65)</f>
        <v/>
      </c>
      <c r="G65" s="23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</row>
    <row r="66">
      <c r="A66" s="229" t="n"/>
      <c r="B66" s="232" t="n"/>
      <c r="C66" s="229" t="n"/>
      <c r="D66" s="238" t="n"/>
      <c r="E66" s="238" t="n"/>
      <c r="F66" s="225">
        <f>IF(C66="","",F65+D66-E66)</f>
        <v/>
      </c>
      <c r="G66" s="23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</row>
    <row r="67">
      <c r="A67" s="229" t="n"/>
      <c r="B67" s="232" t="n"/>
      <c r="C67" s="229" t="n"/>
      <c r="D67" s="238" t="n"/>
      <c r="E67" s="238" t="n"/>
      <c r="F67" s="225">
        <f>IF(C67="","",F66+D67-E67)</f>
        <v/>
      </c>
      <c r="G67" s="23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</row>
    <row r="68">
      <c r="A68" s="229" t="n"/>
      <c r="B68" s="232" t="n"/>
      <c r="C68" s="229" t="n"/>
      <c r="D68" s="238" t="n"/>
      <c r="E68" s="238" t="n"/>
      <c r="F68" s="225">
        <f>IF(C68="","",F67+D68-E68)</f>
        <v/>
      </c>
      <c r="G68" s="23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</row>
    <row r="69">
      <c r="A69" s="229" t="n"/>
      <c r="B69" s="232" t="n"/>
      <c r="C69" s="229" t="n"/>
      <c r="D69" s="238" t="n"/>
      <c r="E69" s="238" t="n"/>
      <c r="F69" s="225">
        <f>IF(C69="","",F68+D69-E69)</f>
        <v/>
      </c>
      <c r="G69" s="232" t="n"/>
      <c r="H69" s="192" t="n"/>
      <c r="I69" s="192" t="n"/>
      <c r="J69" s="192" t="n"/>
      <c r="K69" s="192" t="n"/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</row>
    <row r="70">
      <c r="A70" s="229" t="n"/>
      <c r="B70" s="232" t="n"/>
      <c r="C70" s="229" t="n"/>
      <c r="D70" s="238" t="n"/>
      <c r="E70" s="238" t="n"/>
      <c r="F70" s="225">
        <f>IF(C70="","",F69+D70-E70)</f>
        <v/>
      </c>
      <c r="G70" s="23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</row>
    <row r="71">
      <c r="A71" s="229" t="n"/>
      <c r="B71" s="232" t="n"/>
      <c r="C71" s="229" t="n"/>
      <c r="D71" s="238" t="n"/>
      <c r="E71" s="238" t="n"/>
      <c r="F71" s="225">
        <f>IF(C71="","",F70+D71-E71)</f>
        <v/>
      </c>
      <c r="G71" s="23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</row>
    <row r="72">
      <c r="A72" s="229" t="n"/>
      <c r="B72" s="232" t="n"/>
      <c r="C72" s="229" t="n"/>
      <c r="D72" s="238" t="n"/>
      <c r="E72" s="238" t="n"/>
      <c r="F72" s="225">
        <f>IF(C72="","",F71+D72-E72)</f>
        <v/>
      </c>
      <c r="G72" s="232" t="n"/>
      <c r="H72" s="192" t="n"/>
      <c r="I72" s="192" t="n"/>
      <c r="J72" s="192" t="n"/>
      <c r="K72" s="192" t="n"/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</row>
    <row r="73">
      <c r="A73" s="229" t="n"/>
      <c r="B73" s="232" t="n"/>
      <c r="C73" s="229" t="n"/>
      <c r="D73" s="238" t="n"/>
      <c r="E73" s="238" t="n"/>
      <c r="F73" s="225">
        <f>IF(C73="","",F72+D73-E73)</f>
        <v/>
      </c>
      <c r="G73" s="23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</row>
    <row r="74">
      <c r="A74" s="229" t="n"/>
      <c r="B74" s="232" t="n"/>
      <c r="C74" s="229" t="n"/>
      <c r="D74" s="238" t="n"/>
      <c r="E74" s="238" t="n"/>
      <c r="F74" s="225">
        <f>IF(C74="","",F73+D74-E74)</f>
        <v/>
      </c>
      <c r="G74" s="23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</row>
    <row r="75">
      <c r="A75" s="229" t="n"/>
      <c r="B75" s="232" t="n"/>
      <c r="C75" s="229" t="n"/>
      <c r="D75" s="238" t="n"/>
      <c r="E75" s="238" t="n"/>
      <c r="F75" s="225">
        <f>IF(C75="","",F74+D75-E75)</f>
        <v/>
      </c>
      <c r="G75" s="23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</row>
    <row r="76">
      <c r="A76" s="229" t="n"/>
      <c r="B76" s="232" t="n"/>
      <c r="C76" s="229" t="n"/>
      <c r="D76" s="238" t="n"/>
      <c r="E76" s="238" t="n"/>
      <c r="F76" s="225">
        <f>IF(C76="","",F75+D76-E76)</f>
        <v/>
      </c>
      <c r="G76" s="232" t="n"/>
      <c r="H76" s="192" t="n"/>
      <c r="I76" s="192" t="n"/>
      <c r="J76" s="192" t="n"/>
      <c r="K76" s="192" t="n"/>
      <c r="L76" s="192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</row>
    <row r="77">
      <c r="A77" s="229" t="n"/>
      <c r="B77" s="232" t="n"/>
      <c r="C77" s="229" t="n"/>
      <c r="D77" s="238" t="n"/>
      <c r="E77" s="238" t="n"/>
      <c r="F77" s="225">
        <f>IF(C77="","",F76+D77-E77)</f>
        <v/>
      </c>
      <c r="G77" s="23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</row>
    <row r="78">
      <c r="A78" s="229" t="n"/>
      <c r="B78" s="232" t="n"/>
      <c r="C78" s="229" t="n"/>
      <c r="D78" s="238" t="n"/>
      <c r="E78" s="238" t="n"/>
      <c r="F78" s="225">
        <f>IF(C78="","",F77+D78-E78)</f>
        <v/>
      </c>
      <c r="G78" s="23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</row>
    <row r="79">
      <c r="A79" s="229" t="n"/>
      <c r="B79" s="232" t="n"/>
      <c r="C79" s="229" t="n"/>
      <c r="D79" s="238" t="n"/>
      <c r="E79" s="238" t="n"/>
      <c r="F79" s="225">
        <f>IF(C79="","",F78+D79-E79)</f>
        <v/>
      </c>
      <c r="G79" s="23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</row>
    <row r="80">
      <c r="A80" s="229" t="n"/>
      <c r="B80" s="232" t="n"/>
      <c r="C80" s="229" t="n"/>
      <c r="D80" s="238" t="n"/>
      <c r="E80" s="238" t="n"/>
      <c r="F80" s="225">
        <f>IF(C80="","",F79+D80-E80)</f>
        <v/>
      </c>
      <c r="G80" s="23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</row>
    <row r="81">
      <c r="A81" s="229" t="n"/>
      <c r="B81" s="232" t="n"/>
      <c r="C81" s="229" t="n"/>
      <c r="D81" s="238" t="n"/>
      <c r="E81" s="238" t="n"/>
      <c r="F81" s="225">
        <f>IF(C81="","",F80+D81-E81)</f>
        <v/>
      </c>
      <c r="G81" s="23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</row>
    <row r="82">
      <c r="A82" s="229" t="n"/>
      <c r="B82" s="232" t="n"/>
      <c r="C82" s="229" t="n"/>
      <c r="D82" s="238" t="n"/>
      <c r="E82" s="238" t="n"/>
      <c r="F82" s="225">
        <f>IF(C82="","",F81+D82-E82)</f>
        <v/>
      </c>
      <c r="G82" s="23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</row>
    <row r="83">
      <c r="A83" s="229" t="n"/>
      <c r="B83" s="232" t="n"/>
      <c r="C83" s="229" t="n"/>
      <c r="D83" s="238" t="n"/>
      <c r="E83" s="238" t="n"/>
      <c r="F83" s="225">
        <f>IF(C83="","",F82+D83-E83)</f>
        <v/>
      </c>
      <c r="G83" s="23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</row>
    <row r="84">
      <c r="A84" s="229" t="n"/>
      <c r="B84" s="232" t="n"/>
      <c r="C84" s="229" t="n"/>
      <c r="D84" s="238" t="n"/>
      <c r="E84" s="238" t="n"/>
      <c r="F84" s="225">
        <f>IF(C84="","",F83+D84-E84)</f>
        <v/>
      </c>
      <c r="G84" s="23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</row>
    <row r="85">
      <c r="A85" s="229" t="n"/>
      <c r="B85" s="232" t="n"/>
      <c r="C85" s="229" t="n"/>
      <c r="D85" s="238" t="n"/>
      <c r="E85" s="238" t="n"/>
      <c r="F85" s="225">
        <f>IF(C85="","",F84+D85-E85)</f>
        <v/>
      </c>
      <c r="G85" s="23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</row>
    <row r="86">
      <c r="A86" s="229" t="n"/>
      <c r="B86" s="232" t="n"/>
      <c r="C86" s="229" t="n"/>
      <c r="D86" s="238" t="n"/>
      <c r="E86" s="238" t="n"/>
      <c r="F86" s="225">
        <f>IF(C86="","",F85+D86-E86)</f>
        <v/>
      </c>
      <c r="G86" s="23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</row>
    <row r="87">
      <c r="A87" s="229" t="n"/>
      <c r="B87" s="232" t="n"/>
      <c r="C87" s="229" t="n"/>
      <c r="D87" s="238" t="n"/>
      <c r="E87" s="238" t="n"/>
      <c r="F87" s="225">
        <f>IF(C87="","",F86+D87-E87)</f>
        <v/>
      </c>
      <c r="G87" s="23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</row>
    <row r="88">
      <c r="A88" s="229" t="n"/>
      <c r="B88" s="232" t="n"/>
      <c r="C88" s="229" t="n"/>
      <c r="D88" s="238" t="n"/>
      <c r="E88" s="238" t="n"/>
      <c r="F88" s="225">
        <f>IF(C88="","",F87+D88-E88)</f>
        <v/>
      </c>
      <c r="G88" s="23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</row>
    <row r="89">
      <c r="A89" s="229" t="n"/>
      <c r="B89" s="232" t="n"/>
      <c r="C89" s="229" t="n"/>
      <c r="D89" s="238" t="n"/>
      <c r="E89" s="238" t="n"/>
      <c r="F89" s="225">
        <f>IF(C89="","",F88+D89-E89)</f>
        <v/>
      </c>
      <c r="G89" s="23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</sheetData>
  <mergeCells count="2">
    <mergeCell ref="Q2:T2"/>
    <mergeCell ref="A2:P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rgb="FF2F65CB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2"/>
    <col width="22" customWidth="1" style="22" min="3" max="3"/>
    <col width="16" customWidth="1" style="22" min="4" max="6"/>
    <col width="14" customWidth="1" style="22" min="7" max="7"/>
    <col width="16" customWidth="1" style="22" min="8" max="8"/>
    <col width="14" customWidth="1" style="22" min="9" max="9"/>
    <col width="10" customWidth="1" style="22" min="10" max="10"/>
    <col width="14" customWidth="1" style="22" min="11" max="11"/>
    <col width="16" customWidth="1" style="22" min="12" max="12"/>
  </cols>
  <sheetData>
    <row r="1" ht="6" customHeight="1" s="22">
      <c r="A1" s="132" t="inlineStr">
        <is>
          <t>Cuentas por cobrar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📥  CUENTAS POR COBRAR</t>
        </is>
      </c>
      <c r="Q2" s="135" t="inlineStr">
        <is>
          <t>Control Cartera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144">
        <f>SUMIFS(F:F,H:H,"Pendiente")+SUMIFS(F:F,H:H,"Vencido")</f>
        <v/>
      </c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39" t="inlineStr">
        <is>
          <t>N° DOC</t>
        </is>
      </c>
      <c r="B4" s="39" t="inlineStr">
        <is>
          <t>FECHA</t>
        </is>
      </c>
      <c r="C4" s="39" t="inlineStr">
        <is>
          <t>CLIENTE</t>
        </is>
      </c>
      <c r="D4" s="39" t="inlineStr">
        <is>
          <t>IMPORTE VENTA</t>
        </is>
      </c>
      <c r="E4" s="39" t="inlineStr">
        <is>
          <t>IMPORTE COBRADO</t>
        </is>
      </c>
      <c r="F4" s="39" t="inlineStr">
        <is>
          <t>SALDO PENDIENTE</t>
        </is>
      </c>
      <c r="G4" s="39" t="inlineStr">
        <is>
          <t>FECHA VENC.</t>
        </is>
      </c>
      <c r="H4" s="39" t="inlineStr">
        <is>
          <t>ESTADO</t>
        </is>
      </c>
      <c r="I4" s="39" t="inlineStr">
        <is>
          <t>DÍAS ATRASO</t>
        </is>
      </c>
      <c r="J4" s="39" t="inlineStr">
        <is>
          <t>MES</t>
        </is>
      </c>
      <c r="K4" s="39" t="inlineStr">
        <is>
          <t>OBS.</t>
        </is>
      </c>
      <c r="L4" s="39" t="inlineStr">
        <is>
          <t>ALERTA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7">
        <f>Ventas!A8</f>
        <v/>
      </c>
      <c r="B5" s="158">
        <f>Ventas!B8</f>
        <v/>
      </c>
      <c r="C5" s="6">
        <f>Ventas!C8</f>
        <v/>
      </c>
      <c r="D5" s="16">
        <f>Ventas!H8</f>
        <v/>
      </c>
      <c r="E5" s="5" t="n">
        <v>0</v>
      </c>
      <c r="F5" s="16">
        <f>IF(A5="","",D5-E5)</f>
        <v/>
      </c>
      <c r="G5" s="158">
        <f>IF(B5="","",B5+30)</f>
        <v/>
      </c>
      <c r="H5" s="159">
        <f>IF(A5="","",IF(F5=0,"Cobrado",IF(TODAY()&gt;G5,"Vencido","Pendiente")))</f>
        <v/>
      </c>
      <c r="I5" s="17">
        <f>IF(H5="Vencido",TODAY()-G5,0)</f>
        <v/>
      </c>
      <c r="J5" s="17">
        <f>IF(B5="","",MONTH(B5))</f>
        <v/>
      </c>
      <c r="K5" s="6" t="n"/>
      <c r="L5" s="159">
        <f>IF(H5="Vencido","Cobro urgente",IF(H5="Pendiente","Seguimiento","OK"))</f>
        <v/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7">
        <f>Ventas!A9</f>
        <v/>
      </c>
      <c r="B6" s="158">
        <f>Ventas!B9</f>
        <v/>
      </c>
      <c r="C6" s="6">
        <f>Ventas!C9</f>
        <v/>
      </c>
      <c r="D6" s="16">
        <f>Ventas!H9</f>
        <v/>
      </c>
      <c r="E6" s="5" t="n">
        <v>0</v>
      </c>
      <c r="F6" s="16">
        <f>IF(A6="","",D6-E6)</f>
        <v/>
      </c>
      <c r="G6" s="158">
        <f>IF(B6="","",B6+30)</f>
        <v/>
      </c>
      <c r="H6" s="159">
        <f>IF(A6="","",IF(F6=0,"Cobrado",IF(TODAY()&gt;G6,"Vencido","Pendiente")))</f>
        <v/>
      </c>
      <c r="I6" s="17">
        <f>IF(H6="Vencido",TODAY()-G6,0)</f>
        <v/>
      </c>
      <c r="J6" s="17">
        <f>IF(B6="","",MONTH(B6))</f>
        <v/>
      </c>
      <c r="K6" s="6" t="n"/>
      <c r="L6" s="159">
        <f>IF(H6="Vencido","Cobro urgente",IF(H6="Pendiente","Seguimiento","OK"))</f>
        <v/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7">
        <f>Ventas!A10</f>
        <v/>
      </c>
      <c r="B7" s="158">
        <f>Ventas!B10</f>
        <v/>
      </c>
      <c r="C7" s="6">
        <f>Ventas!C10</f>
        <v/>
      </c>
      <c r="D7" s="16">
        <f>Ventas!H10</f>
        <v/>
      </c>
      <c r="E7" s="5" t="n">
        <v>0</v>
      </c>
      <c r="F7" s="16">
        <f>IF(A7="","",D7-E7)</f>
        <v/>
      </c>
      <c r="G7" s="158">
        <f>IF(B7="","",B7+30)</f>
        <v/>
      </c>
      <c r="H7" s="159">
        <f>IF(A7="","",IF(F7=0,"Cobrado",IF(TODAY()&gt;G7,"Vencido","Pendiente")))</f>
        <v/>
      </c>
      <c r="I7" s="17">
        <f>IF(H7="Vencido",TODAY()-G7,0)</f>
        <v/>
      </c>
      <c r="J7" s="17">
        <f>IF(B7="","",MONTH(B7))</f>
        <v/>
      </c>
      <c r="K7" s="6" t="n"/>
      <c r="L7" s="159">
        <f>IF(H7="Vencido","Cobro urgente",IF(H7="Pendiente","Seguimiento","OK"))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241">
        <f>Ventas!A11</f>
        <v/>
      </c>
      <c r="B8" s="242">
        <f>Ventas!B11</f>
        <v/>
      </c>
      <c r="C8" s="232">
        <f>Ventas!C11</f>
        <v/>
      </c>
      <c r="D8" s="238">
        <f>Ventas!H11</f>
        <v/>
      </c>
      <c r="E8" s="229" t="n">
        <v>0</v>
      </c>
      <c r="F8" s="238">
        <f>IF(A8="","",D8-E8)</f>
        <v/>
      </c>
      <c r="G8" s="242">
        <f>IF(B8="","",B8+30)</f>
        <v/>
      </c>
      <c r="H8" s="243">
        <f>IF(A8="","",IF(F8=0,"Cobrado",IF(TODAY()&gt;G8,"Vencido","Pendiente")))</f>
        <v/>
      </c>
      <c r="I8" s="241">
        <f>IF(H8="Vencido",TODAY()-G8,0)</f>
        <v/>
      </c>
      <c r="J8" s="241">
        <f>IF(B8="","",MONTH(B8))</f>
        <v/>
      </c>
      <c r="K8" s="232" t="n"/>
      <c r="L8" s="243">
        <f>IF(H8="Vencido","Cobro urgente",IF(H8="Pendiente","Seguimiento","OK"))</f>
        <v/>
      </c>
      <c r="M8" s="192" t="n"/>
      <c r="N8" s="192" t="n"/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241">
        <f>Ventas!A12</f>
        <v/>
      </c>
      <c r="B9" s="242">
        <f>Ventas!B12</f>
        <v/>
      </c>
      <c r="C9" s="232">
        <f>Ventas!C12</f>
        <v/>
      </c>
      <c r="D9" s="238">
        <f>Ventas!H12</f>
        <v/>
      </c>
      <c r="E9" s="229" t="n">
        <v>0</v>
      </c>
      <c r="F9" s="238">
        <f>IF(A9="","",D9-E9)</f>
        <v/>
      </c>
      <c r="G9" s="242">
        <f>IF(B9="","",B9+30)</f>
        <v/>
      </c>
      <c r="H9" s="243">
        <f>IF(A9="","",IF(F9=0,"Cobrado",IF(TODAY()&gt;G9,"Vencido","Pendiente")))</f>
        <v/>
      </c>
      <c r="I9" s="241">
        <f>IF(H9="Vencido",TODAY()-G9,0)</f>
        <v/>
      </c>
      <c r="J9" s="241">
        <f>IF(B9="","",MONTH(B9))</f>
        <v/>
      </c>
      <c r="K9" s="232" t="n"/>
      <c r="L9" s="243">
        <f>IF(H9="Vencido","Cobro urgente",IF(H9="Pendiente","Seguimiento","OK"))</f>
        <v/>
      </c>
      <c r="M9" s="192" t="n"/>
      <c r="N9" s="192" t="n"/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241">
        <f>Ventas!A13</f>
        <v/>
      </c>
      <c r="B10" s="242">
        <f>Ventas!B13</f>
        <v/>
      </c>
      <c r="C10" s="232">
        <f>Ventas!C13</f>
        <v/>
      </c>
      <c r="D10" s="238">
        <f>Ventas!H13</f>
        <v/>
      </c>
      <c r="E10" s="229" t="n">
        <v>0</v>
      </c>
      <c r="F10" s="238">
        <f>IF(A10="","",D10-E10)</f>
        <v/>
      </c>
      <c r="G10" s="242">
        <f>IF(B10="","",B10+30)</f>
        <v/>
      </c>
      <c r="H10" s="243">
        <f>IF(A10="","",IF(F10=0,"Cobrado",IF(TODAY()&gt;G10,"Vencido","Pendiente")))</f>
        <v/>
      </c>
      <c r="I10" s="241">
        <f>IF(H10="Vencido",TODAY()-G10,0)</f>
        <v/>
      </c>
      <c r="J10" s="241">
        <f>IF(B10="","",MONTH(B10))</f>
        <v/>
      </c>
      <c r="K10" s="232" t="n"/>
      <c r="L10" s="243">
        <f>IF(H10="Vencido","Cobro urgente",IF(H10="Pendiente","Seguimiento","OK"))</f>
        <v/>
      </c>
      <c r="M10" s="192" t="n"/>
      <c r="N10" s="192" t="n"/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241">
        <f>Ventas!A14</f>
        <v/>
      </c>
      <c r="B11" s="242">
        <f>Ventas!B14</f>
        <v/>
      </c>
      <c r="C11" s="232">
        <f>Ventas!C14</f>
        <v/>
      </c>
      <c r="D11" s="238">
        <f>Ventas!H14</f>
        <v/>
      </c>
      <c r="E11" s="229" t="n">
        <v>0</v>
      </c>
      <c r="F11" s="238">
        <f>IF(A11="","",D11-E11)</f>
        <v/>
      </c>
      <c r="G11" s="242">
        <f>IF(B11="","",B11+30)</f>
        <v/>
      </c>
      <c r="H11" s="243">
        <f>IF(A11="","",IF(F11=0,"Cobrado",IF(TODAY()&gt;G11,"Vencido","Pendiente")))</f>
        <v/>
      </c>
      <c r="I11" s="241">
        <f>IF(H11="Vencido",TODAY()-G11,0)</f>
        <v/>
      </c>
      <c r="J11" s="241">
        <f>IF(B11="","",MONTH(B11))</f>
        <v/>
      </c>
      <c r="K11" s="232" t="n"/>
      <c r="L11" s="243">
        <f>IF(H11="Vencido","Cobro urgente",IF(H11="Pendiente","Seguimiento","OK"))</f>
        <v/>
      </c>
      <c r="M11" s="192" t="n"/>
      <c r="N11" s="192" t="n"/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241">
        <f>Ventas!A15</f>
        <v/>
      </c>
      <c r="B12" s="242">
        <f>Ventas!B15</f>
        <v/>
      </c>
      <c r="C12" s="232">
        <f>Ventas!C15</f>
        <v/>
      </c>
      <c r="D12" s="238">
        <f>Ventas!H15</f>
        <v/>
      </c>
      <c r="E12" s="229" t="n">
        <v>0</v>
      </c>
      <c r="F12" s="238">
        <f>IF(A12="","",D12-E12)</f>
        <v/>
      </c>
      <c r="G12" s="242">
        <f>IF(B12="","",B12+30)</f>
        <v/>
      </c>
      <c r="H12" s="243">
        <f>IF(A12="","",IF(F12=0,"Cobrado",IF(TODAY()&gt;G12,"Vencido","Pendiente")))</f>
        <v/>
      </c>
      <c r="I12" s="241">
        <f>IF(H12="Vencido",TODAY()-G12,0)</f>
        <v/>
      </c>
      <c r="J12" s="241">
        <f>IF(B12="","",MONTH(B12))</f>
        <v/>
      </c>
      <c r="K12" s="232" t="n"/>
      <c r="L12" s="243">
        <f>IF(H12="Vencido","Cobro urgente",IF(H12="Pendiente","Seguimiento","OK"))</f>
        <v/>
      </c>
      <c r="M12" s="192" t="n"/>
      <c r="N12" s="192" t="n"/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241">
        <f>Ventas!A16</f>
        <v/>
      </c>
      <c r="B13" s="242">
        <f>Ventas!B16</f>
        <v/>
      </c>
      <c r="C13" s="232">
        <f>Ventas!C16</f>
        <v/>
      </c>
      <c r="D13" s="238">
        <f>Ventas!H16</f>
        <v/>
      </c>
      <c r="E13" s="229" t="n">
        <v>0</v>
      </c>
      <c r="F13" s="238">
        <f>IF(A13="","",D13-E13)</f>
        <v/>
      </c>
      <c r="G13" s="242">
        <f>IF(B13="","",B13+30)</f>
        <v/>
      </c>
      <c r="H13" s="243">
        <f>IF(A13="","",IF(F13=0,"Cobrado",IF(TODAY()&gt;G13,"Vencido","Pendiente")))</f>
        <v/>
      </c>
      <c r="I13" s="241">
        <f>IF(H13="Vencido",TODAY()-G13,0)</f>
        <v/>
      </c>
      <c r="J13" s="241">
        <f>IF(B13="","",MONTH(B13))</f>
        <v/>
      </c>
      <c r="K13" s="232" t="n"/>
      <c r="L13" s="243">
        <f>IF(H13="Vencido","Cobro urgente",IF(H13="Pendiente","Seguimiento","OK"))</f>
        <v/>
      </c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241">
        <f>Ventas!A17</f>
        <v/>
      </c>
      <c r="B14" s="242">
        <f>Ventas!B17</f>
        <v/>
      </c>
      <c r="C14" s="232">
        <f>Ventas!C17</f>
        <v/>
      </c>
      <c r="D14" s="238">
        <f>Ventas!H17</f>
        <v/>
      </c>
      <c r="E14" s="229" t="n">
        <v>0</v>
      </c>
      <c r="F14" s="238">
        <f>IF(A14="","",D14-E14)</f>
        <v/>
      </c>
      <c r="G14" s="242">
        <f>IF(B14="","",B14+30)</f>
        <v/>
      </c>
      <c r="H14" s="243">
        <f>IF(A14="","",IF(F14=0,"Cobrado",IF(TODAY()&gt;G14,"Vencido","Pendiente")))</f>
        <v/>
      </c>
      <c r="I14" s="241">
        <f>IF(H14="Vencido",TODAY()-G14,0)</f>
        <v/>
      </c>
      <c r="J14" s="241">
        <f>IF(B14="","",MONTH(B14))</f>
        <v/>
      </c>
      <c r="K14" s="232" t="n"/>
      <c r="L14" s="243">
        <f>IF(H14="Vencido","Cobro urgente",IF(H14="Pendiente","Seguimiento","OK"))</f>
        <v/>
      </c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241">
        <f>Ventas!A18</f>
        <v/>
      </c>
      <c r="B15" s="242">
        <f>Ventas!B18</f>
        <v/>
      </c>
      <c r="C15" s="232">
        <f>Ventas!C18</f>
        <v/>
      </c>
      <c r="D15" s="238">
        <f>Ventas!H18</f>
        <v/>
      </c>
      <c r="E15" s="229" t="n">
        <v>0</v>
      </c>
      <c r="F15" s="238">
        <f>IF(A15="","",D15-E15)</f>
        <v/>
      </c>
      <c r="G15" s="242">
        <f>IF(B15="","",B15+30)</f>
        <v/>
      </c>
      <c r="H15" s="243">
        <f>IF(A15="","",IF(F15=0,"Cobrado",IF(TODAY()&gt;G15,"Vencido","Pendiente")))</f>
        <v/>
      </c>
      <c r="I15" s="241">
        <f>IF(H15="Vencido",TODAY()-G15,0)</f>
        <v/>
      </c>
      <c r="J15" s="241">
        <f>IF(B15="","",MONTH(B15))</f>
        <v/>
      </c>
      <c r="K15" s="232" t="n"/>
      <c r="L15" s="243">
        <f>IF(H15="Vencido","Cobro urgente",IF(H15="Pendiente","Seguimiento","OK"))</f>
        <v/>
      </c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241">
        <f>Ventas!A19</f>
        <v/>
      </c>
      <c r="B16" s="242">
        <f>Ventas!B19</f>
        <v/>
      </c>
      <c r="C16" s="232">
        <f>Ventas!C19</f>
        <v/>
      </c>
      <c r="D16" s="238">
        <f>Ventas!H19</f>
        <v/>
      </c>
      <c r="E16" s="229" t="n">
        <v>0</v>
      </c>
      <c r="F16" s="238">
        <f>IF(A16="","",D16-E16)</f>
        <v/>
      </c>
      <c r="G16" s="242">
        <f>IF(B16="","",B16+30)</f>
        <v/>
      </c>
      <c r="H16" s="243">
        <f>IF(A16="","",IF(F16=0,"Cobrado",IF(TODAY()&gt;G16,"Vencido","Pendiente")))</f>
        <v/>
      </c>
      <c r="I16" s="241">
        <f>IF(H16="Vencido",TODAY()-G16,0)</f>
        <v/>
      </c>
      <c r="J16" s="241">
        <f>IF(B16="","",MONTH(B16))</f>
        <v/>
      </c>
      <c r="K16" s="232" t="n"/>
      <c r="L16" s="243">
        <f>IF(H16="Vencido","Cobro urgente",IF(H16="Pendiente","Seguimiento","OK"))</f>
        <v/>
      </c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241">
        <f>Ventas!A20</f>
        <v/>
      </c>
      <c r="B17" s="242">
        <f>Ventas!B20</f>
        <v/>
      </c>
      <c r="C17" s="232">
        <f>Ventas!C20</f>
        <v/>
      </c>
      <c r="D17" s="238">
        <f>Ventas!H20</f>
        <v/>
      </c>
      <c r="E17" s="229" t="n">
        <v>0</v>
      </c>
      <c r="F17" s="238">
        <f>IF(A17="","",D17-E17)</f>
        <v/>
      </c>
      <c r="G17" s="242">
        <f>IF(B17="","",B17+30)</f>
        <v/>
      </c>
      <c r="H17" s="243">
        <f>IF(A17="","",IF(F17=0,"Cobrado",IF(TODAY()&gt;G17,"Vencido","Pendiente")))</f>
        <v/>
      </c>
      <c r="I17" s="241">
        <f>IF(H17="Vencido",TODAY()-G17,0)</f>
        <v/>
      </c>
      <c r="J17" s="241">
        <f>IF(B17="","",MONTH(B17))</f>
        <v/>
      </c>
      <c r="K17" s="232" t="n"/>
      <c r="L17" s="243">
        <f>IF(H17="Vencido","Cobro urgente",IF(H17="Pendiente","Seguimiento","OK"))</f>
        <v/>
      </c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241">
        <f>Ventas!A21</f>
        <v/>
      </c>
      <c r="B18" s="242">
        <f>Ventas!B21</f>
        <v/>
      </c>
      <c r="C18" s="232">
        <f>Ventas!C21</f>
        <v/>
      </c>
      <c r="D18" s="238">
        <f>Ventas!H21</f>
        <v/>
      </c>
      <c r="E18" s="229" t="n">
        <v>0</v>
      </c>
      <c r="F18" s="238">
        <f>IF(A18="","",D18-E18)</f>
        <v/>
      </c>
      <c r="G18" s="242">
        <f>IF(B18="","",B18+30)</f>
        <v/>
      </c>
      <c r="H18" s="243">
        <f>IF(A18="","",IF(F18=0,"Cobrado",IF(TODAY()&gt;G18,"Vencido","Pendiente")))</f>
        <v/>
      </c>
      <c r="I18" s="241">
        <f>IF(H18="Vencido",TODAY()-G18,0)</f>
        <v/>
      </c>
      <c r="J18" s="241">
        <f>IF(B18="","",MONTH(B18))</f>
        <v/>
      </c>
      <c r="K18" s="232" t="n"/>
      <c r="L18" s="243">
        <f>IF(H18="Vencido","Cobro urgente",IF(H18="Pendiente","Seguimiento","OK"))</f>
        <v/>
      </c>
      <c r="M18" s="192" t="n"/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241">
        <f>Ventas!A22</f>
        <v/>
      </c>
      <c r="B19" s="242">
        <f>Ventas!B22</f>
        <v/>
      </c>
      <c r="C19" s="232">
        <f>Ventas!C22</f>
        <v/>
      </c>
      <c r="D19" s="238">
        <f>Ventas!H22</f>
        <v/>
      </c>
      <c r="E19" s="229" t="n">
        <v>0</v>
      </c>
      <c r="F19" s="238">
        <f>IF(A19="","",D19-E19)</f>
        <v/>
      </c>
      <c r="G19" s="242">
        <f>IF(B19="","",B19+30)</f>
        <v/>
      </c>
      <c r="H19" s="243">
        <f>IF(A19="","",IF(F19=0,"Cobrado",IF(TODAY()&gt;G19,"Vencido","Pendiente")))</f>
        <v/>
      </c>
      <c r="I19" s="241">
        <f>IF(H19="Vencido",TODAY()-G19,0)</f>
        <v/>
      </c>
      <c r="J19" s="241">
        <f>IF(B19="","",MONTH(B19))</f>
        <v/>
      </c>
      <c r="K19" s="232" t="n"/>
      <c r="L19" s="243">
        <f>IF(H19="Vencido","Cobro urgente",IF(H19="Pendiente","Seguimiento","OK"))</f>
        <v/>
      </c>
      <c r="M19" s="192" t="n"/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241">
        <f>Ventas!A23</f>
        <v/>
      </c>
      <c r="B20" s="242">
        <f>Ventas!B23</f>
        <v/>
      </c>
      <c r="C20" s="232">
        <f>Ventas!C23</f>
        <v/>
      </c>
      <c r="D20" s="238">
        <f>Ventas!H23</f>
        <v/>
      </c>
      <c r="E20" s="229" t="n">
        <v>0</v>
      </c>
      <c r="F20" s="238">
        <f>IF(A20="","",D20-E20)</f>
        <v/>
      </c>
      <c r="G20" s="242">
        <f>IF(B20="","",B20+30)</f>
        <v/>
      </c>
      <c r="H20" s="243">
        <f>IF(A20="","",IF(F20=0,"Cobrado",IF(TODAY()&gt;G20,"Vencido","Pendiente")))</f>
        <v/>
      </c>
      <c r="I20" s="241">
        <f>IF(H20="Vencido",TODAY()-G20,0)</f>
        <v/>
      </c>
      <c r="J20" s="241">
        <f>IF(B20="","",MONTH(B20))</f>
        <v/>
      </c>
      <c r="K20" s="232" t="n"/>
      <c r="L20" s="243">
        <f>IF(H20="Vencido","Cobro urgente",IF(H20="Pendiente","Seguimiento","OK"))</f>
        <v/>
      </c>
      <c r="M20" s="192" t="n"/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241">
        <f>Ventas!A24</f>
        <v/>
      </c>
      <c r="B21" s="242">
        <f>Ventas!B24</f>
        <v/>
      </c>
      <c r="C21" s="232">
        <f>Ventas!C24</f>
        <v/>
      </c>
      <c r="D21" s="238">
        <f>Ventas!H24</f>
        <v/>
      </c>
      <c r="E21" s="229" t="n">
        <v>0</v>
      </c>
      <c r="F21" s="238">
        <f>IF(A21="","",D21-E21)</f>
        <v/>
      </c>
      <c r="G21" s="242">
        <f>IF(B21="","",B21+30)</f>
        <v/>
      </c>
      <c r="H21" s="243">
        <f>IF(A21="","",IF(F21=0,"Cobrado",IF(TODAY()&gt;G21,"Vencido","Pendiente")))</f>
        <v/>
      </c>
      <c r="I21" s="241">
        <f>IF(H21="Vencido",TODAY()-G21,0)</f>
        <v/>
      </c>
      <c r="J21" s="241">
        <f>IF(B21="","",MONTH(B21))</f>
        <v/>
      </c>
      <c r="K21" s="232" t="n"/>
      <c r="L21" s="243">
        <f>IF(H21="Vencido","Cobro urgente",IF(H21="Pendiente","Seguimiento","OK"))</f>
        <v/>
      </c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241">
        <f>Ventas!A25</f>
        <v/>
      </c>
      <c r="B22" s="242">
        <f>Ventas!B25</f>
        <v/>
      </c>
      <c r="C22" s="232">
        <f>Ventas!C25</f>
        <v/>
      </c>
      <c r="D22" s="238">
        <f>Ventas!H25</f>
        <v/>
      </c>
      <c r="E22" s="229" t="n">
        <v>0</v>
      </c>
      <c r="F22" s="238">
        <f>IF(A22="","",D22-E22)</f>
        <v/>
      </c>
      <c r="G22" s="242">
        <f>IF(B22="","",B22+30)</f>
        <v/>
      </c>
      <c r="H22" s="243">
        <f>IF(A22="","",IF(F22=0,"Cobrado",IF(TODAY()&gt;G22,"Vencido","Pendiente")))</f>
        <v/>
      </c>
      <c r="I22" s="241">
        <f>IF(H22="Vencido",TODAY()-G22,0)</f>
        <v/>
      </c>
      <c r="J22" s="241">
        <f>IF(B22="","",MONTH(B22))</f>
        <v/>
      </c>
      <c r="K22" s="232" t="n"/>
      <c r="L22" s="243">
        <f>IF(H22="Vencido","Cobro urgente",IF(H22="Pendiente","Seguimiento","OK"))</f>
        <v/>
      </c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241">
        <f>Ventas!A26</f>
        <v/>
      </c>
      <c r="B23" s="242">
        <f>Ventas!B26</f>
        <v/>
      </c>
      <c r="C23" s="232">
        <f>Ventas!C26</f>
        <v/>
      </c>
      <c r="D23" s="238">
        <f>Ventas!H26</f>
        <v/>
      </c>
      <c r="E23" s="229" t="n">
        <v>0</v>
      </c>
      <c r="F23" s="238">
        <f>IF(A23="","",D23-E23)</f>
        <v/>
      </c>
      <c r="G23" s="242">
        <f>IF(B23="","",B23+30)</f>
        <v/>
      </c>
      <c r="H23" s="243">
        <f>IF(A23="","",IF(F23=0,"Cobrado",IF(TODAY()&gt;G23,"Vencido","Pendiente")))</f>
        <v/>
      </c>
      <c r="I23" s="241">
        <f>IF(H23="Vencido",TODAY()-G23,0)</f>
        <v/>
      </c>
      <c r="J23" s="241">
        <f>IF(B23="","",MONTH(B23))</f>
        <v/>
      </c>
      <c r="K23" s="232" t="n"/>
      <c r="L23" s="243">
        <f>IF(H23="Vencido","Cobro urgente",IF(H23="Pendiente","Seguimiento","OK"))</f>
        <v/>
      </c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241">
        <f>Ventas!A27</f>
        <v/>
      </c>
      <c r="B24" s="242">
        <f>Ventas!B27</f>
        <v/>
      </c>
      <c r="C24" s="232">
        <f>Ventas!C27</f>
        <v/>
      </c>
      <c r="D24" s="238">
        <f>Ventas!H27</f>
        <v/>
      </c>
      <c r="E24" s="229" t="n">
        <v>0</v>
      </c>
      <c r="F24" s="238">
        <f>IF(A24="","",D24-E24)</f>
        <v/>
      </c>
      <c r="G24" s="242">
        <f>IF(B24="","",B24+30)</f>
        <v/>
      </c>
      <c r="H24" s="243">
        <f>IF(A24="","",IF(F24=0,"Cobrado",IF(TODAY()&gt;G24,"Vencido","Pendiente")))</f>
        <v/>
      </c>
      <c r="I24" s="241">
        <f>IF(H24="Vencido",TODAY()-G24,0)</f>
        <v/>
      </c>
      <c r="J24" s="241">
        <f>IF(B24="","",MONTH(B24))</f>
        <v/>
      </c>
      <c r="K24" s="232" t="n"/>
      <c r="L24" s="243">
        <f>IF(H24="Vencido","Cobro urgente",IF(H24="Pendiente","Seguimiento","OK"))</f>
        <v/>
      </c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241">
        <f>Ventas!A28</f>
        <v/>
      </c>
      <c r="B25" s="242">
        <f>Ventas!B28</f>
        <v/>
      </c>
      <c r="C25" s="232">
        <f>Ventas!C28</f>
        <v/>
      </c>
      <c r="D25" s="238">
        <f>Ventas!H28</f>
        <v/>
      </c>
      <c r="E25" s="229" t="n">
        <v>0</v>
      </c>
      <c r="F25" s="238">
        <f>IF(A25="","",D25-E25)</f>
        <v/>
      </c>
      <c r="G25" s="242">
        <f>IF(B25="","",B25+30)</f>
        <v/>
      </c>
      <c r="H25" s="243">
        <f>IF(A25="","",IF(F25=0,"Cobrado",IF(TODAY()&gt;G25,"Vencido","Pendiente")))</f>
        <v/>
      </c>
      <c r="I25" s="241">
        <f>IF(H25="Vencido",TODAY()-G25,0)</f>
        <v/>
      </c>
      <c r="J25" s="241">
        <f>IF(B25="","",MONTH(B25))</f>
        <v/>
      </c>
      <c r="K25" s="232" t="n"/>
      <c r="L25" s="243">
        <f>IF(H25="Vencido","Cobro urgente",IF(H25="Pendiente","Seguimiento","OK"))</f>
        <v/>
      </c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241">
        <f>Ventas!A29</f>
        <v/>
      </c>
      <c r="B26" s="242">
        <f>Ventas!B29</f>
        <v/>
      </c>
      <c r="C26" s="232">
        <f>Ventas!C29</f>
        <v/>
      </c>
      <c r="D26" s="238">
        <f>Ventas!H29</f>
        <v/>
      </c>
      <c r="E26" s="229" t="n">
        <v>0</v>
      </c>
      <c r="F26" s="238">
        <f>IF(A26="","",D26-E26)</f>
        <v/>
      </c>
      <c r="G26" s="242">
        <f>IF(B26="","",B26+30)</f>
        <v/>
      </c>
      <c r="H26" s="243">
        <f>IF(A26="","",IF(F26=0,"Cobrado",IF(TODAY()&gt;G26,"Vencido","Pendiente")))</f>
        <v/>
      </c>
      <c r="I26" s="241">
        <f>IF(H26="Vencido",TODAY()-G26,0)</f>
        <v/>
      </c>
      <c r="J26" s="241">
        <f>IF(B26="","",MONTH(B26))</f>
        <v/>
      </c>
      <c r="K26" s="232" t="n"/>
      <c r="L26" s="243">
        <f>IF(H26="Vencido","Cobro urgente",IF(H26="Pendiente","Seguimiento","OK"))</f>
        <v/>
      </c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241">
        <f>Ventas!A30</f>
        <v/>
      </c>
      <c r="B27" s="242">
        <f>Ventas!B30</f>
        <v/>
      </c>
      <c r="C27" s="232">
        <f>Ventas!C30</f>
        <v/>
      </c>
      <c r="D27" s="238">
        <f>Ventas!H30</f>
        <v/>
      </c>
      <c r="E27" s="229" t="n">
        <v>0</v>
      </c>
      <c r="F27" s="238">
        <f>IF(A27="","",D27-E27)</f>
        <v/>
      </c>
      <c r="G27" s="242">
        <f>IF(B27="","",B27+30)</f>
        <v/>
      </c>
      <c r="H27" s="243">
        <f>IF(A27="","",IF(F27=0,"Cobrado",IF(TODAY()&gt;G27,"Vencido","Pendiente")))</f>
        <v/>
      </c>
      <c r="I27" s="241">
        <f>IF(H27="Vencido",TODAY()-G27,0)</f>
        <v/>
      </c>
      <c r="J27" s="241">
        <f>IF(B27="","",MONTH(B27))</f>
        <v/>
      </c>
      <c r="K27" s="232" t="n"/>
      <c r="L27" s="243">
        <f>IF(H27="Vencido","Cobro urgente",IF(H27="Pendiente","Seguimiento","OK"))</f>
        <v/>
      </c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241">
        <f>Ventas!A31</f>
        <v/>
      </c>
      <c r="B28" s="242">
        <f>Ventas!B31</f>
        <v/>
      </c>
      <c r="C28" s="232">
        <f>Ventas!C31</f>
        <v/>
      </c>
      <c r="D28" s="238">
        <f>Ventas!H31</f>
        <v/>
      </c>
      <c r="E28" s="229" t="n">
        <v>0</v>
      </c>
      <c r="F28" s="238">
        <f>IF(A28="","",D28-E28)</f>
        <v/>
      </c>
      <c r="G28" s="242">
        <f>IF(B28="","",B28+30)</f>
        <v/>
      </c>
      <c r="H28" s="243">
        <f>IF(A28="","",IF(F28=0,"Cobrado",IF(TODAY()&gt;G28,"Vencido","Pendiente")))</f>
        <v/>
      </c>
      <c r="I28" s="241">
        <f>IF(H28="Vencido",TODAY()-G28,0)</f>
        <v/>
      </c>
      <c r="J28" s="241">
        <f>IF(B28="","",MONTH(B28))</f>
        <v/>
      </c>
      <c r="K28" s="232" t="n"/>
      <c r="L28" s="243">
        <f>IF(H28="Vencido","Cobro urgente",IF(H28="Pendiente","Seguimiento","OK"))</f>
        <v/>
      </c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241">
        <f>Ventas!A32</f>
        <v/>
      </c>
      <c r="B29" s="242">
        <f>Ventas!B32</f>
        <v/>
      </c>
      <c r="C29" s="232">
        <f>Ventas!C32</f>
        <v/>
      </c>
      <c r="D29" s="238">
        <f>Ventas!H32</f>
        <v/>
      </c>
      <c r="E29" s="229" t="n">
        <v>0</v>
      </c>
      <c r="F29" s="238">
        <f>IF(A29="","",D29-E29)</f>
        <v/>
      </c>
      <c r="G29" s="242">
        <f>IF(B29="","",B29+30)</f>
        <v/>
      </c>
      <c r="H29" s="243">
        <f>IF(A29="","",IF(F29=0,"Cobrado",IF(TODAY()&gt;G29,"Vencido","Pendiente")))</f>
        <v/>
      </c>
      <c r="I29" s="241">
        <f>IF(H29="Vencido",TODAY()-G29,0)</f>
        <v/>
      </c>
      <c r="J29" s="241">
        <f>IF(B29="","",MONTH(B29))</f>
        <v/>
      </c>
      <c r="K29" s="232" t="n"/>
      <c r="L29" s="243">
        <f>IF(H29="Vencido","Cobro urgente",IF(H29="Pendiente","Seguimiento","OK"))</f>
        <v/>
      </c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241">
        <f>Ventas!A33</f>
        <v/>
      </c>
      <c r="B30" s="242">
        <f>Ventas!B33</f>
        <v/>
      </c>
      <c r="C30" s="232">
        <f>Ventas!C33</f>
        <v/>
      </c>
      <c r="D30" s="238">
        <f>Ventas!H33</f>
        <v/>
      </c>
      <c r="E30" s="229" t="n">
        <v>0</v>
      </c>
      <c r="F30" s="238">
        <f>IF(A30="","",D30-E30)</f>
        <v/>
      </c>
      <c r="G30" s="242">
        <f>IF(B30="","",B30+30)</f>
        <v/>
      </c>
      <c r="H30" s="243">
        <f>IF(A30="","",IF(F30=0,"Cobrado",IF(TODAY()&gt;G30,"Vencido","Pendiente")))</f>
        <v/>
      </c>
      <c r="I30" s="241">
        <f>IF(H30="Vencido",TODAY()-G30,0)</f>
        <v/>
      </c>
      <c r="J30" s="241">
        <f>IF(B30="","",MONTH(B30))</f>
        <v/>
      </c>
      <c r="K30" s="232" t="n"/>
      <c r="L30" s="243">
        <f>IF(H30="Vencido","Cobro urgente",IF(H30="Pendiente","Seguimiento","OK"))</f>
        <v/>
      </c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241">
        <f>Ventas!A34</f>
        <v/>
      </c>
      <c r="B31" s="242">
        <f>Ventas!B34</f>
        <v/>
      </c>
      <c r="C31" s="232">
        <f>Ventas!C34</f>
        <v/>
      </c>
      <c r="D31" s="238">
        <f>Ventas!H34</f>
        <v/>
      </c>
      <c r="E31" s="229" t="n">
        <v>0</v>
      </c>
      <c r="F31" s="238">
        <f>IF(A31="","",D31-E31)</f>
        <v/>
      </c>
      <c r="G31" s="242">
        <f>IF(B31="","",B31+30)</f>
        <v/>
      </c>
      <c r="H31" s="243">
        <f>IF(A31="","",IF(F31=0,"Cobrado",IF(TODAY()&gt;G31,"Vencido","Pendiente")))</f>
        <v/>
      </c>
      <c r="I31" s="241">
        <f>IF(H31="Vencido",TODAY()-G31,0)</f>
        <v/>
      </c>
      <c r="J31" s="241">
        <f>IF(B31="","",MONTH(B31))</f>
        <v/>
      </c>
      <c r="K31" s="232" t="n"/>
      <c r="L31" s="243">
        <f>IF(H31="Vencido","Cobro urgente",IF(H31="Pendiente","Seguimiento","OK"))</f>
        <v/>
      </c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241">
        <f>Ventas!A35</f>
        <v/>
      </c>
      <c r="B32" s="242">
        <f>Ventas!B35</f>
        <v/>
      </c>
      <c r="C32" s="232">
        <f>Ventas!C35</f>
        <v/>
      </c>
      <c r="D32" s="238">
        <f>Ventas!H35</f>
        <v/>
      </c>
      <c r="E32" s="229" t="n">
        <v>0</v>
      </c>
      <c r="F32" s="238">
        <f>IF(A32="","",D32-E32)</f>
        <v/>
      </c>
      <c r="G32" s="242">
        <f>IF(B32="","",B32+30)</f>
        <v/>
      </c>
      <c r="H32" s="243">
        <f>IF(A32="","",IF(F32=0,"Cobrado",IF(TODAY()&gt;G32,"Vencido","Pendiente")))</f>
        <v/>
      </c>
      <c r="I32" s="241">
        <f>IF(H32="Vencido",TODAY()-G32,0)</f>
        <v/>
      </c>
      <c r="J32" s="241">
        <f>IF(B32="","",MONTH(B32))</f>
        <v/>
      </c>
      <c r="K32" s="232" t="n"/>
      <c r="L32" s="243">
        <f>IF(H32="Vencido","Cobro urgente",IF(H32="Pendiente","Seguimiento","OK"))</f>
        <v/>
      </c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241">
        <f>Ventas!A36</f>
        <v/>
      </c>
      <c r="B33" s="242">
        <f>Ventas!B36</f>
        <v/>
      </c>
      <c r="C33" s="232">
        <f>Ventas!C36</f>
        <v/>
      </c>
      <c r="D33" s="238">
        <f>Ventas!H36</f>
        <v/>
      </c>
      <c r="E33" s="229" t="n">
        <v>0</v>
      </c>
      <c r="F33" s="238">
        <f>IF(A33="","",D33-E33)</f>
        <v/>
      </c>
      <c r="G33" s="242">
        <f>IF(B33="","",B33+30)</f>
        <v/>
      </c>
      <c r="H33" s="243">
        <f>IF(A33="","",IF(F33=0,"Cobrado",IF(TODAY()&gt;G33,"Vencido","Pendiente")))</f>
        <v/>
      </c>
      <c r="I33" s="241">
        <f>IF(H33="Vencido",TODAY()-G33,0)</f>
        <v/>
      </c>
      <c r="J33" s="241">
        <f>IF(B33="","",MONTH(B33))</f>
        <v/>
      </c>
      <c r="K33" s="232" t="n"/>
      <c r="L33" s="243">
        <f>IF(H33="Vencido","Cobro urgente",IF(H33="Pendiente","Seguimiento","OK"))</f>
        <v/>
      </c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241">
        <f>Ventas!A37</f>
        <v/>
      </c>
      <c r="B34" s="242">
        <f>Ventas!B37</f>
        <v/>
      </c>
      <c r="C34" s="232">
        <f>Ventas!C37</f>
        <v/>
      </c>
      <c r="D34" s="238">
        <f>Ventas!H37</f>
        <v/>
      </c>
      <c r="E34" s="229" t="n">
        <v>0</v>
      </c>
      <c r="F34" s="238">
        <f>IF(A34="","",D34-E34)</f>
        <v/>
      </c>
      <c r="G34" s="242">
        <f>IF(B34="","",B34+30)</f>
        <v/>
      </c>
      <c r="H34" s="243">
        <f>IF(A34="","",IF(F34=0,"Cobrado",IF(TODAY()&gt;G34,"Vencido","Pendiente")))</f>
        <v/>
      </c>
      <c r="I34" s="241">
        <f>IF(H34="Vencido",TODAY()-G34,0)</f>
        <v/>
      </c>
      <c r="J34" s="241">
        <f>IF(B34="","",MONTH(B34))</f>
        <v/>
      </c>
      <c r="K34" s="232" t="n"/>
      <c r="L34" s="243">
        <f>IF(H34="Vencido","Cobro urgente",IF(H34="Pendiente","Seguimiento","OK"))</f>
        <v/>
      </c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241">
        <f>Ventas!A38</f>
        <v/>
      </c>
      <c r="B35" s="242">
        <f>Ventas!B38</f>
        <v/>
      </c>
      <c r="C35" s="232">
        <f>Ventas!C38</f>
        <v/>
      </c>
      <c r="D35" s="238">
        <f>Ventas!H38</f>
        <v/>
      </c>
      <c r="E35" s="229" t="n">
        <v>0</v>
      </c>
      <c r="F35" s="238">
        <f>IF(A35="","",D35-E35)</f>
        <v/>
      </c>
      <c r="G35" s="242">
        <f>IF(B35="","",B35+30)</f>
        <v/>
      </c>
      <c r="H35" s="243">
        <f>IF(A35="","",IF(F35=0,"Cobrado",IF(TODAY()&gt;G35,"Vencido","Pendiente")))</f>
        <v/>
      </c>
      <c r="I35" s="241">
        <f>IF(H35="Vencido",TODAY()-G35,0)</f>
        <v/>
      </c>
      <c r="J35" s="241">
        <f>IF(B35="","",MONTH(B35))</f>
        <v/>
      </c>
      <c r="K35" s="232" t="n"/>
      <c r="L35" s="243">
        <f>IF(H35="Vencido","Cobro urgente",IF(H35="Pendiente","Seguimiento","OK"))</f>
        <v/>
      </c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241">
        <f>Ventas!A39</f>
        <v/>
      </c>
      <c r="B36" s="242">
        <f>Ventas!B39</f>
        <v/>
      </c>
      <c r="C36" s="232">
        <f>Ventas!C39</f>
        <v/>
      </c>
      <c r="D36" s="238">
        <f>Ventas!H39</f>
        <v/>
      </c>
      <c r="E36" s="229" t="n">
        <v>0</v>
      </c>
      <c r="F36" s="238">
        <f>IF(A36="","",D36-E36)</f>
        <v/>
      </c>
      <c r="G36" s="242">
        <f>IF(B36="","",B36+30)</f>
        <v/>
      </c>
      <c r="H36" s="243">
        <f>IF(A36="","",IF(F36=0,"Cobrado",IF(TODAY()&gt;G36,"Vencido","Pendiente")))</f>
        <v/>
      </c>
      <c r="I36" s="241">
        <f>IF(H36="Vencido",TODAY()-G36,0)</f>
        <v/>
      </c>
      <c r="J36" s="241">
        <f>IF(B36="","",MONTH(B36))</f>
        <v/>
      </c>
      <c r="K36" s="232" t="n"/>
      <c r="L36" s="243">
        <f>IF(H36="Vencido","Cobro urgente",IF(H36="Pendiente","Seguimiento","OK"))</f>
        <v/>
      </c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241">
        <f>Ventas!A40</f>
        <v/>
      </c>
      <c r="B37" s="242">
        <f>Ventas!B40</f>
        <v/>
      </c>
      <c r="C37" s="232">
        <f>Ventas!C40</f>
        <v/>
      </c>
      <c r="D37" s="238">
        <f>Ventas!H40</f>
        <v/>
      </c>
      <c r="E37" s="229" t="n">
        <v>0</v>
      </c>
      <c r="F37" s="238">
        <f>IF(A37="","",D37-E37)</f>
        <v/>
      </c>
      <c r="G37" s="242">
        <f>IF(B37="","",B37+30)</f>
        <v/>
      </c>
      <c r="H37" s="243">
        <f>IF(A37="","",IF(F37=0,"Cobrado",IF(TODAY()&gt;G37,"Vencido","Pendiente")))</f>
        <v/>
      </c>
      <c r="I37" s="241">
        <f>IF(H37="Vencido",TODAY()-G37,0)</f>
        <v/>
      </c>
      <c r="J37" s="241">
        <f>IF(B37="","",MONTH(B37))</f>
        <v/>
      </c>
      <c r="K37" s="232" t="n"/>
      <c r="L37" s="243">
        <f>IF(H37="Vencido","Cobro urgente",IF(H37="Pendiente","Seguimiento","OK"))</f>
        <v/>
      </c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241">
        <f>Ventas!A41</f>
        <v/>
      </c>
      <c r="B38" s="242">
        <f>Ventas!B41</f>
        <v/>
      </c>
      <c r="C38" s="232">
        <f>Ventas!C41</f>
        <v/>
      </c>
      <c r="D38" s="238">
        <f>Ventas!H41</f>
        <v/>
      </c>
      <c r="E38" s="229" t="n">
        <v>0</v>
      </c>
      <c r="F38" s="238">
        <f>IF(A38="","",D38-E38)</f>
        <v/>
      </c>
      <c r="G38" s="242">
        <f>IF(B38="","",B38+30)</f>
        <v/>
      </c>
      <c r="H38" s="243">
        <f>IF(A38="","",IF(F38=0,"Cobrado",IF(TODAY()&gt;G38,"Vencido","Pendiente")))</f>
        <v/>
      </c>
      <c r="I38" s="241">
        <f>IF(H38="Vencido",TODAY()-G38,0)</f>
        <v/>
      </c>
      <c r="J38" s="241">
        <f>IF(B38="","",MONTH(B38))</f>
        <v/>
      </c>
      <c r="K38" s="232" t="n"/>
      <c r="L38" s="243">
        <f>IF(H38="Vencido","Cobro urgente",IF(H38="Pendiente","Seguimiento","OK"))</f>
        <v/>
      </c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241">
        <f>Ventas!A42</f>
        <v/>
      </c>
      <c r="B39" s="242">
        <f>Ventas!B42</f>
        <v/>
      </c>
      <c r="C39" s="232">
        <f>Ventas!C42</f>
        <v/>
      </c>
      <c r="D39" s="238">
        <f>Ventas!H42</f>
        <v/>
      </c>
      <c r="E39" s="229" t="n">
        <v>0</v>
      </c>
      <c r="F39" s="238">
        <f>IF(A39="","",D39-E39)</f>
        <v/>
      </c>
      <c r="G39" s="242">
        <f>IF(B39="","",B39+30)</f>
        <v/>
      </c>
      <c r="H39" s="243">
        <f>IF(A39="","",IF(F39=0,"Cobrado",IF(TODAY()&gt;G39,"Vencido","Pendiente")))</f>
        <v/>
      </c>
      <c r="I39" s="241">
        <f>IF(H39="Vencido",TODAY()-G39,0)</f>
        <v/>
      </c>
      <c r="J39" s="241">
        <f>IF(B39="","",MONTH(B39))</f>
        <v/>
      </c>
      <c r="K39" s="232" t="n"/>
      <c r="L39" s="243">
        <f>IF(H39="Vencido","Cobro urgente",IF(H39="Pendiente","Seguimiento","OK"))</f>
        <v/>
      </c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241">
        <f>Ventas!A43</f>
        <v/>
      </c>
      <c r="B40" s="242">
        <f>Ventas!B43</f>
        <v/>
      </c>
      <c r="C40" s="232">
        <f>Ventas!C43</f>
        <v/>
      </c>
      <c r="D40" s="238">
        <f>Ventas!H43</f>
        <v/>
      </c>
      <c r="E40" s="229" t="n">
        <v>0</v>
      </c>
      <c r="F40" s="238">
        <f>IF(A40="","",D40-E40)</f>
        <v/>
      </c>
      <c r="G40" s="242">
        <f>IF(B40="","",B40+30)</f>
        <v/>
      </c>
      <c r="H40" s="243">
        <f>IF(A40="","",IF(F40=0,"Cobrado",IF(TODAY()&gt;G40,"Vencido","Pendiente")))</f>
        <v/>
      </c>
      <c r="I40" s="241">
        <f>IF(H40="Vencido",TODAY()-G40,0)</f>
        <v/>
      </c>
      <c r="J40" s="241">
        <f>IF(B40="","",MONTH(B40))</f>
        <v/>
      </c>
      <c r="K40" s="232" t="n"/>
      <c r="L40" s="243">
        <f>IF(H40="Vencido","Cobro urgente",IF(H40="Pendiente","Seguimiento","OK"))</f>
        <v/>
      </c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241">
        <f>Ventas!A44</f>
        <v/>
      </c>
      <c r="B41" s="242">
        <f>Ventas!B44</f>
        <v/>
      </c>
      <c r="C41" s="232">
        <f>Ventas!C44</f>
        <v/>
      </c>
      <c r="D41" s="238">
        <f>Ventas!H44</f>
        <v/>
      </c>
      <c r="E41" s="229" t="n">
        <v>0</v>
      </c>
      <c r="F41" s="238">
        <f>IF(A41="","",D41-E41)</f>
        <v/>
      </c>
      <c r="G41" s="242">
        <f>IF(B41="","",B41+30)</f>
        <v/>
      </c>
      <c r="H41" s="243">
        <f>IF(A41="","",IF(F41=0,"Cobrado",IF(TODAY()&gt;G41,"Vencido","Pendiente")))</f>
        <v/>
      </c>
      <c r="I41" s="241">
        <f>IF(H41="Vencido",TODAY()-G41,0)</f>
        <v/>
      </c>
      <c r="J41" s="241">
        <f>IF(B41="","",MONTH(B41))</f>
        <v/>
      </c>
      <c r="K41" s="232" t="n"/>
      <c r="L41" s="243">
        <f>IF(H41="Vencido","Cobro urgente",IF(H41="Pendiente","Seguimiento","OK"))</f>
        <v/>
      </c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241">
        <f>Ventas!A45</f>
        <v/>
      </c>
      <c r="B42" s="242">
        <f>Ventas!B45</f>
        <v/>
      </c>
      <c r="C42" s="232">
        <f>Ventas!C45</f>
        <v/>
      </c>
      <c r="D42" s="238">
        <f>Ventas!H45</f>
        <v/>
      </c>
      <c r="E42" s="229" t="n">
        <v>0</v>
      </c>
      <c r="F42" s="238">
        <f>IF(A42="","",D42-E42)</f>
        <v/>
      </c>
      <c r="G42" s="242">
        <f>IF(B42="","",B42+30)</f>
        <v/>
      </c>
      <c r="H42" s="243">
        <f>IF(A42="","",IF(F42=0,"Cobrado",IF(TODAY()&gt;G42,"Vencido","Pendiente")))</f>
        <v/>
      </c>
      <c r="I42" s="241">
        <f>IF(H42="Vencido",TODAY()-G42,0)</f>
        <v/>
      </c>
      <c r="J42" s="241">
        <f>IF(B42="","",MONTH(B42))</f>
        <v/>
      </c>
      <c r="K42" s="232" t="n"/>
      <c r="L42" s="243">
        <f>IF(H42="Vencido","Cobro urgente",IF(H42="Pendiente","Seguimiento","OK"))</f>
        <v/>
      </c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241">
        <f>Ventas!A46</f>
        <v/>
      </c>
      <c r="B43" s="242">
        <f>Ventas!B46</f>
        <v/>
      </c>
      <c r="C43" s="232">
        <f>Ventas!C46</f>
        <v/>
      </c>
      <c r="D43" s="238">
        <f>Ventas!H46</f>
        <v/>
      </c>
      <c r="E43" s="229" t="n">
        <v>0</v>
      </c>
      <c r="F43" s="238">
        <f>IF(A43="","",D43-E43)</f>
        <v/>
      </c>
      <c r="G43" s="242">
        <f>IF(B43="","",B43+30)</f>
        <v/>
      </c>
      <c r="H43" s="243">
        <f>IF(A43="","",IF(F43=0,"Cobrado",IF(TODAY()&gt;G43,"Vencido","Pendiente")))</f>
        <v/>
      </c>
      <c r="I43" s="241">
        <f>IF(H43="Vencido",TODAY()-G43,0)</f>
        <v/>
      </c>
      <c r="J43" s="241">
        <f>IF(B43="","",MONTH(B43))</f>
        <v/>
      </c>
      <c r="K43" s="232" t="n"/>
      <c r="L43" s="243">
        <f>IF(H43="Vencido","Cobro urgente",IF(H43="Pendiente","Seguimiento","OK"))</f>
        <v/>
      </c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241">
        <f>Ventas!A47</f>
        <v/>
      </c>
      <c r="B44" s="242">
        <f>Ventas!B47</f>
        <v/>
      </c>
      <c r="C44" s="232">
        <f>Ventas!C47</f>
        <v/>
      </c>
      <c r="D44" s="238">
        <f>Ventas!H47</f>
        <v/>
      </c>
      <c r="E44" s="229" t="n">
        <v>0</v>
      </c>
      <c r="F44" s="238">
        <f>IF(A44="","",D44-E44)</f>
        <v/>
      </c>
      <c r="G44" s="242">
        <f>IF(B44="","",B44+30)</f>
        <v/>
      </c>
      <c r="H44" s="243">
        <f>IF(A44="","",IF(F44=0,"Cobrado",IF(TODAY()&gt;G44,"Vencido","Pendiente")))</f>
        <v/>
      </c>
      <c r="I44" s="241">
        <f>IF(H44="Vencido",TODAY()-G44,0)</f>
        <v/>
      </c>
      <c r="J44" s="241">
        <f>IF(B44="","",MONTH(B44))</f>
        <v/>
      </c>
      <c r="K44" s="232" t="n"/>
      <c r="L44" s="243">
        <f>IF(H44="Vencido","Cobro urgente",IF(H44="Pendiente","Seguimiento","OK"))</f>
        <v/>
      </c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241">
        <f>Ventas!A48</f>
        <v/>
      </c>
      <c r="B45" s="242">
        <f>Ventas!B48</f>
        <v/>
      </c>
      <c r="C45" s="232">
        <f>Ventas!C48</f>
        <v/>
      </c>
      <c r="D45" s="238">
        <f>Ventas!H48</f>
        <v/>
      </c>
      <c r="E45" s="229" t="n">
        <v>0</v>
      </c>
      <c r="F45" s="238">
        <f>IF(A45="","",D45-E45)</f>
        <v/>
      </c>
      <c r="G45" s="242">
        <f>IF(B45="","",B45+30)</f>
        <v/>
      </c>
      <c r="H45" s="243">
        <f>IF(A45="","",IF(F45=0,"Cobrado",IF(TODAY()&gt;G45,"Vencido","Pendiente")))</f>
        <v/>
      </c>
      <c r="I45" s="241">
        <f>IF(H45="Vencido",TODAY()-G45,0)</f>
        <v/>
      </c>
      <c r="J45" s="241">
        <f>IF(B45="","",MONTH(B45))</f>
        <v/>
      </c>
      <c r="K45" s="232" t="n"/>
      <c r="L45" s="243">
        <f>IF(H45="Vencido","Cobro urgente",IF(H45="Pendiente","Seguimiento","OK"))</f>
        <v/>
      </c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241">
        <f>Ventas!A49</f>
        <v/>
      </c>
      <c r="B46" s="242">
        <f>Ventas!B49</f>
        <v/>
      </c>
      <c r="C46" s="232">
        <f>Ventas!C49</f>
        <v/>
      </c>
      <c r="D46" s="238">
        <f>Ventas!H49</f>
        <v/>
      </c>
      <c r="E46" s="229" t="n">
        <v>0</v>
      </c>
      <c r="F46" s="238">
        <f>IF(A46="","",D46-E46)</f>
        <v/>
      </c>
      <c r="G46" s="242">
        <f>IF(B46="","",B46+30)</f>
        <v/>
      </c>
      <c r="H46" s="243">
        <f>IF(A46="","",IF(F46=0,"Cobrado",IF(TODAY()&gt;G46,"Vencido","Pendiente")))</f>
        <v/>
      </c>
      <c r="I46" s="241">
        <f>IF(H46="Vencido",TODAY()-G46,0)</f>
        <v/>
      </c>
      <c r="J46" s="241">
        <f>IF(B46="","",MONTH(B46))</f>
        <v/>
      </c>
      <c r="K46" s="232" t="n"/>
      <c r="L46" s="243">
        <f>IF(H46="Vencido","Cobro urgente",IF(H46="Pendiente","Seguimiento","OK"))</f>
        <v/>
      </c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241">
        <f>Ventas!A50</f>
        <v/>
      </c>
      <c r="B47" s="242">
        <f>Ventas!B50</f>
        <v/>
      </c>
      <c r="C47" s="232">
        <f>Ventas!C50</f>
        <v/>
      </c>
      <c r="D47" s="238">
        <f>Ventas!H50</f>
        <v/>
      </c>
      <c r="E47" s="229" t="n">
        <v>0</v>
      </c>
      <c r="F47" s="238">
        <f>IF(A47="","",D47-E47)</f>
        <v/>
      </c>
      <c r="G47" s="242">
        <f>IF(B47="","",B47+30)</f>
        <v/>
      </c>
      <c r="H47" s="243">
        <f>IF(A47="","",IF(F47=0,"Cobrado",IF(TODAY()&gt;G47,"Vencido","Pendiente")))</f>
        <v/>
      </c>
      <c r="I47" s="241">
        <f>IF(H47="Vencido",TODAY()-G47,0)</f>
        <v/>
      </c>
      <c r="J47" s="241">
        <f>IF(B47="","",MONTH(B47))</f>
        <v/>
      </c>
      <c r="K47" s="232" t="n"/>
      <c r="L47" s="243">
        <f>IF(H47="Vencido","Cobro urgente",IF(H47="Pendiente","Seguimiento","OK"))</f>
        <v/>
      </c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241">
        <f>Ventas!A51</f>
        <v/>
      </c>
      <c r="B48" s="242">
        <f>Ventas!B51</f>
        <v/>
      </c>
      <c r="C48" s="232">
        <f>Ventas!C51</f>
        <v/>
      </c>
      <c r="D48" s="238">
        <f>Ventas!H51</f>
        <v/>
      </c>
      <c r="E48" s="229" t="n">
        <v>0</v>
      </c>
      <c r="F48" s="238">
        <f>IF(A48="","",D48-E48)</f>
        <v/>
      </c>
      <c r="G48" s="242">
        <f>IF(B48="","",B48+30)</f>
        <v/>
      </c>
      <c r="H48" s="243">
        <f>IF(A48="","",IF(F48=0,"Cobrado",IF(TODAY()&gt;G48,"Vencido","Pendiente")))</f>
        <v/>
      </c>
      <c r="I48" s="241">
        <f>IF(H48="Vencido",TODAY()-G48,0)</f>
        <v/>
      </c>
      <c r="J48" s="241">
        <f>IF(B48="","",MONTH(B48))</f>
        <v/>
      </c>
      <c r="K48" s="232" t="n"/>
      <c r="L48" s="243">
        <f>IF(H48="Vencido","Cobro urgente",IF(H48="Pendiente","Seguimiento","OK"))</f>
        <v/>
      </c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241">
        <f>Ventas!A52</f>
        <v/>
      </c>
      <c r="B49" s="242">
        <f>Ventas!B52</f>
        <v/>
      </c>
      <c r="C49" s="232">
        <f>Ventas!C52</f>
        <v/>
      </c>
      <c r="D49" s="238">
        <f>Ventas!H52</f>
        <v/>
      </c>
      <c r="E49" s="229" t="n">
        <v>0</v>
      </c>
      <c r="F49" s="238">
        <f>IF(A49="","",D49-E49)</f>
        <v/>
      </c>
      <c r="G49" s="242">
        <f>IF(B49="","",B49+30)</f>
        <v/>
      </c>
      <c r="H49" s="243">
        <f>IF(A49="","",IF(F49=0,"Cobrado",IF(TODAY()&gt;G49,"Vencido","Pendiente")))</f>
        <v/>
      </c>
      <c r="I49" s="241">
        <f>IF(H49="Vencido",TODAY()-G49,0)</f>
        <v/>
      </c>
      <c r="J49" s="241">
        <f>IF(B49="","",MONTH(B49))</f>
        <v/>
      </c>
      <c r="K49" s="232" t="n"/>
      <c r="L49" s="243">
        <f>IF(H49="Vencido","Cobro urgente",IF(H49="Pendiente","Seguimiento","OK"))</f>
        <v/>
      </c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241">
        <f>Ventas!A53</f>
        <v/>
      </c>
      <c r="B50" s="242">
        <f>Ventas!B53</f>
        <v/>
      </c>
      <c r="C50" s="232">
        <f>Ventas!C53</f>
        <v/>
      </c>
      <c r="D50" s="238">
        <f>Ventas!H53</f>
        <v/>
      </c>
      <c r="E50" s="229" t="n">
        <v>0</v>
      </c>
      <c r="F50" s="238">
        <f>IF(A50="","",D50-E50)</f>
        <v/>
      </c>
      <c r="G50" s="242">
        <f>IF(B50="","",B50+30)</f>
        <v/>
      </c>
      <c r="H50" s="243">
        <f>IF(A50="","",IF(F50=0,"Cobrado",IF(TODAY()&gt;G50,"Vencido","Pendiente")))</f>
        <v/>
      </c>
      <c r="I50" s="241">
        <f>IF(H50="Vencido",TODAY()-G50,0)</f>
        <v/>
      </c>
      <c r="J50" s="241">
        <f>IF(B50="","",MONTH(B50))</f>
        <v/>
      </c>
      <c r="K50" s="232" t="n"/>
      <c r="L50" s="243">
        <f>IF(H50="Vencido","Cobro urgente",IF(H50="Pendiente","Seguimiento","OK"))</f>
        <v/>
      </c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241">
        <f>Ventas!A54</f>
        <v/>
      </c>
      <c r="B51" s="242">
        <f>Ventas!B54</f>
        <v/>
      </c>
      <c r="C51" s="232">
        <f>Ventas!C54</f>
        <v/>
      </c>
      <c r="D51" s="238">
        <f>Ventas!H54</f>
        <v/>
      </c>
      <c r="E51" s="229" t="n">
        <v>0</v>
      </c>
      <c r="F51" s="238">
        <f>IF(A51="","",D51-E51)</f>
        <v/>
      </c>
      <c r="G51" s="242">
        <f>IF(B51="","",B51+30)</f>
        <v/>
      </c>
      <c r="H51" s="243">
        <f>IF(A51="","",IF(F51=0,"Cobrado",IF(TODAY()&gt;G51,"Vencido","Pendiente")))</f>
        <v/>
      </c>
      <c r="I51" s="241">
        <f>IF(H51="Vencido",TODAY()-G51,0)</f>
        <v/>
      </c>
      <c r="J51" s="241">
        <f>IF(B51="","",MONTH(B51))</f>
        <v/>
      </c>
      <c r="K51" s="232" t="n"/>
      <c r="L51" s="243">
        <f>IF(H51="Vencido","Cobro urgente",IF(H51="Pendiente","Seguimiento","OK"))</f>
        <v/>
      </c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241">
        <f>Ventas!A55</f>
        <v/>
      </c>
      <c r="B52" s="242">
        <f>Ventas!B55</f>
        <v/>
      </c>
      <c r="C52" s="232">
        <f>Ventas!C55</f>
        <v/>
      </c>
      <c r="D52" s="238">
        <f>Ventas!H55</f>
        <v/>
      </c>
      <c r="E52" s="229" t="n">
        <v>0</v>
      </c>
      <c r="F52" s="238">
        <f>IF(A52="","",D52-E52)</f>
        <v/>
      </c>
      <c r="G52" s="242">
        <f>IF(B52="","",B52+30)</f>
        <v/>
      </c>
      <c r="H52" s="243">
        <f>IF(A52="","",IF(F52=0,"Cobrado",IF(TODAY()&gt;G52,"Vencido","Pendiente")))</f>
        <v/>
      </c>
      <c r="I52" s="241">
        <f>IF(H52="Vencido",TODAY()-G52,0)</f>
        <v/>
      </c>
      <c r="J52" s="241">
        <f>IF(B52="","",MONTH(B52))</f>
        <v/>
      </c>
      <c r="K52" s="232" t="n"/>
      <c r="L52" s="243">
        <f>IF(H52="Vencido","Cobro urgente",IF(H52="Pendiente","Seguimiento","OK"))</f>
        <v/>
      </c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241">
        <f>Ventas!A56</f>
        <v/>
      </c>
      <c r="B53" s="242">
        <f>Ventas!B56</f>
        <v/>
      </c>
      <c r="C53" s="232">
        <f>Ventas!C56</f>
        <v/>
      </c>
      <c r="D53" s="238">
        <f>Ventas!H56</f>
        <v/>
      </c>
      <c r="E53" s="229" t="n">
        <v>0</v>
      </c>
      <c r="F53" s="238">
        <f>IF(A53="","",D53-E53)</f>
        <v/>
      </c>
      <c r="G53" s="242">
        <f>IF(B53="","",B53+30)</f>
        <v/>
      </c>
      <c r="H53" s="243">
        <f>IF(A53="","",IF(F53=0,"Cobrado",IF(TODAY()&gt;G53,"Vencido","Pendiente")))</f>
        <v/>
      </c>
      <c r="I53" s="241">
        <f>IF(H53="Vencido",TODAY()-G53,0)</f>
        <v/>
      </c>
      <c r="J53" s="241">
        <f>IF(B53="","",MONTH(B53))</f>
        <v/>
      </c>
      <c r="K53" s="232" t="n"/>
      <c r="L53" s="243">
        <f>IF(H53="Vencido","Cobro urgente",IF(H53="Pendiente","Seguimiento","OK"))</f>
        <v/>
      </c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241">
        <f>Ventas!A57</f>
        <v/>
      </c>
      <c r="B54" s="242">
        <f>Ventas!B57</f>
        <v/>
      </c>
      <c r="C54" s="232">
        <f>Ventas!C57</f>
        <v/>
      </c>
      <c r="D54" s="238">
        <f>Ventas!H57</f>
        <v/>
      </c>
      <c r="E54" s="229" t="n">
        <v>0</v>
      </c>
      <c r="F54" s="238">
        <f>IF(A54="","",D54-E54)</f>
        <v/>
      </c>
      <c r="G54" s="242">
        <f>IF(B54="","",B54+30)</f>
        <v/>
      </c>
      <c r="H54" s="243">
        <f>IF(A54="","",IF(F54=0,"Cobrado",IF(TODAY()&gt;G54,"Vencido","Pendiente")))</f>
        <v/>
      </c>
      <c r="I54" s="241">
        <f>IF(H54="Vencido",TODAY()-G54,0)</f>
        <v/>
      </c>
      <c r="J54" s="241">
        <f>IF(B54="","",MONTH(B54))</f>
        <v/>
      </c>
      <c r="K54" s="232" t="n"/>
      <c r="L54" s="243">
        <f>IF(H54="Vencido","Cobro urgente",IF(H54="Pendiente","Seguimiento","OK"))</f>
        <v/>
      </c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241">
        <f>Ventas!A58</f>
        <v/>
      </c>
      <c r="B55" s="242">
        <f>Ventas!B58</f>
        <v/>
      </c>
      <c r="C55" s="232">
        <f>Ventas!C58</f>
        <v/>
      </c>
      <c r="D55" s="238">
        <f>Ventas!H58</f>
        <v/>
      </c>
      <c r="E55" s="229" t="n">
        <v>0</v>
      </c>
      <c r="F55" s="238">
        <f>IF(A55="","",D55-E55)</f>
        <v/>
      </c>
      <c r="G55" s="242">
        <f>IF(B55="","",B55+30)</f>
        <v/>
      </c>
      <c r="H55" s="243">
        <f>IF(A55="","",IF(F55=0,"Cobrado",IF(TODAY()&gt;G55,"Vencido","Pendiente")))</f>
        <v/>
      </c>
      <c r="I55" s="241">
        <f>IF(H55="Vencido",TODAY()-G55,0)</f>
        <v/>
      </c>
      <c r="J55" s="241">
        <f>IF(B55="","",MONTH(B55))</f>
        <v/>
      </c>
      <c r="K55" s="232" t="n"/>
      <c r="L55" s="243">
        <f>IF(H55="Vencido","Cobro urgente",IF(H55="Pendiente","Seguimiento","OK"))</f>
        <v/>
      </c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241">
        <f>Ventas!A59</f>
        <v/>
      </c>
      <c r="B56" s="242">
        <f>Ventas!B59</f>
        <v/>
      </c>
      <c r="C56" s="232">
        <f>Ventas!C59</f>
        <v/>
      </c>
      <c r="D56" s="238">
        <f>Ventas!H59</f>
        <v/>
      </c>
      <c r="E56" s="229" t="n">
        <v>0</v>
      </c>
      <c r="F56" s="238">
        <f>IF(A56="","",D56-E56)</f>
        <v/>
      </c>
      <c r="G56" s="242">
        <f>IF(B56="","",B56+30)</f>
        <v/>
      </c>
      <c r="H56" s="243">
        <f>IF(A56="","",IF(F56=0,"Cobrado",IF(TODAY()&gt;G56,"Vencido","Pendiente")))</f>
        <v/>
      </c>
      <c r="I56" s="241">
        <f>IF(H56="Vencido",TODAY()-G56,0)</f>
        <v/>
      </c>
      <c r="J56" s="241">
        <f>IF(B56="","",MONTH(B56))</f>
        <v/>
      </c>
      <c r="K56" s="232" t="n"/>
      <c r="L56" s="243">
        <f>IF(H56="Vencido","Cobro urgente",IF(H56="Pendiente","Seguimiento","OK"))</f>
        <v/>
      </c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241">
        <f>Ventas!A60</f>
        <v/>
      </c>
      <c r="B57" s="242">
        <f>Ventas!B60</f>
        <v/>
      </c>
      <c r="C57" s="232">
        <f>Ventas!C60</f>
        <v/>
      </c>
      <c r="D57" s="238">
        <f>Ventas!H60</f>
        <v/>
      </c>
      <c r="E57" s="229" t="n">
        <v>0</v>
      </c>
      <c r="F57" s="238">
        <f>IF(A57="","",D57-E57)</f>
        <v/>
      </c>
      <c r="G57" s="242">
        <f>IF(B57="","",B57+30)</f>
        <v/>
      </c>
      <c r="H57" s="243">
        <f>IF(A57="","",IF(F57=0,"Cobrado",IF(TODAY()&gt;G57,"Vencido","Pendiente")))</f>
        <v/>
      </c>
      <c r="I57" s="241">
        <f>IF(H57="Vencido",TODAY()-G57,0)</f>
        <v/>
      </c>
      <c r="J57" s="241">
        <f>IF(B57="","",MONTH(B57))</f>
        <v/>
      </c>
      <c r="K57" s="232" t="n"/>
      <c r="L57" s="243">
        <f>IF(H57="Vencido","Cobro urgente",IF(H57="Pendiente","Seguimiento","OK"))</f>
        <v/>
      </c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241">
        <f>Ventas!A61</f>
        <v/>
      </c>
      <c r="B58" s="242">
        <f>Ventas!B61</f>
        <v/>
      </c>
      <c r="C58" s="232">
        <f>Ventas!C61</f>
        <v/>
      </c>
      <c r="D58" s="238">
        <f>Ventas!H61</f>
        <v/>
      </c>
      <c r="E58" s="229" t="n">
        <v>0</v>
      </c>
      <c r="F58" s="238">
        <f>IF(A58="","",D58-E58)</f>
        <v/>
      </c>
      <c r="G58" s="242">
        <f>IF(B58="","",B58+30)</f>
        <v/>
      </c>
      <c r="H58" s="243">
        <f>IF(A58="","",IF(F58=0,"Cobrado",IF(TODAY()&gt;G58,"Vencido","Pendiente")))</f>
        <v/>
      </c>
      <c r="I58" s="241">
        <f>IF(H58="Vencido",TODAY()-G58,0)</f>
        <v/>
      </c>
      <c r="J58" s="241">
        <f>IF(B58="","",MONTH(B58))</f>
        <v/>
      </c>
      <c r="K58" s="232" t="n"/>
      <c r="L58" s="243">
        <f>IF(H58="Vencido","Cobro urgente",IF(H58="Pendiente","Seguimiento","OK"))</f>
        <v/>
      </c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241">
        <f>Ventas!A62</f>
        <v/>
      </c>
      <c r="B59" s="242">
        <f>Ventas!B62</f>
        <v/>
      </c>
      <c r="C59" s="232">
        <f>Ventas!C62</f>
        <v/>
      </c>
      <c r="D59" s="238">
        <f>Ventas!H62</f>
        <v/>
      </c>
      <c r="E59" s="229" t="n">
        <v>0</v>
      </c>
      <c r="F59" s="238">
        <f>IF(A59="","",D59-E59)</f>
        <v/>
      </c>
      <c r="G59" s="242">
        <f>IF(B59="","",B59+30)</f>
        <v/>
      </c>
      <c r="H59" s="243">
        <f>IF(A59="","",IF(F59=0,"Cobrado",IF(TODAY()&gt;G59,"Vencido","Pendiente")))</f>
        <v/>
      </c>
      <c r="I59" s="241">
        <f>IF(H59="Vencido",TODAY()-G59,0)</f>
        <v/>
      </c>
      <c r="J59" s="241">
        <f>IF(B59="","",MONTH(B59))</f>
        <v/>
      </c>
      <c r="K59" s="232" t="n"/>
      <c r="L59" s="243">
        <f>IF(H59="Vencido","Cobro urgente",IF(H59="Pendiente","Seguimiento","OK"))</f>
        <v/>
      </c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241">
        <f>Ventas!A63</f>
        <v/>
      </c>
      <c r="B60" s="242">
        <f>Ventas!B63</f>
        <v/>
      </c>
      <c r="C60" s="232">
        <f>Ventas!C63</f>
        <v/>
      </c>
      <c r="D60" s="238">
        <f>Ventas!H63</f>
        <v/>
      </c>
      <c r="E60" s="229" t="n">
        <v>0</v>
      </c>
      <c r="F60" s="238">
        <f>IF(A60="","",D60-E60)</f>
        <v/>
      </c>
      <c r="G60" s="242">
        <f>IF(B60="","",B60+30)</f>
        <v/>
      </c>
      <c r="H60" s="243">
        <f>IF(A60="","",IF(F60=0,"Cobrado",IF(TODAY()&gt;G60,"Vencido","Pendiente")))</f>
        <v/>
      </c>
      <c r="I60" s="241">
        <f>IF(H60="Vencido",TODAY()-G60,0)</f>
        <v/>
      </c>
      <c r="J60" s="241">
        <f>IF(B60="","",MONTH(B60))</f>
        <v/>
      </c>
      <c r="K60" s="232" t="n"/>
      <c r="L60" s="243">
        <f>IF(H60="Vencido","Cobro urgente",IF(H60="Pendiente","Seguimiento","OK"))</f>
        <v/>
      </c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241">
        <f>Ventas!A64</f>
        <v/>
      </c>
      <c r="B61" s="242">
        <f>Ventas!B64</f>
        <v/>
      </c>
      <c r="C61" s="232">
        <f>Ventas!C64</f>
        <v/>
      </c>
      <c r="D61" s="238">
        <f>Ventas!H64</f>
        <v/>
      </c>
      <c r="E61" s="229" t="n">
        <v>0</v>
      </c>
      <c r="F61" s="238">
        <f>IF(A61="","",D61-E61)</f>
        <v/>
      </c>
      <c r="G61" s="242">
        <f>IF(B61="","",B61+30)</f>
        <v/>
      </c>
      <c r="H61" s="243">
        <f>IF(A61="","",IF(F61=0,"Cobrado",IF(TODAY()&gt;G61,"Vencido","Pendiente")))</f>
        <v/>
      </c>
      <c r="I61" s="241">
        <f>IF(H61="Vencido",TODAY()-G61,0)</f>
        <v/>
      </c>
      <c r="J61" s="241">
        <f>IF(B61="","",MONTH(B61))</f>
        <v/>
      </c>
      <c r="K61" s="232" t="n"/>
      <c r="L61" s="243">
        <f>IF(H61="Vencido","Cobro urgente",IF(H61="Pendiente","Seguimiento","OK"))</f>
        <v/>
      </c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241">
        <f>Ventas!A65</f>
        <v/>
      </c>
      <c r="B62" s="242">
        <f>Ventas!B65</f>
        <v/>
      </c>
      <c r="C62" s="232">
        <f>Ventas!C65</f>
        <v/>
      </c>
      <c r="D62" s="238">
        <f>Ventas!H65</f>
        <v/>
      </c>
      <c r="E62" s="229" t="n">
        <v>0</v>
      </c>
      <c r="F62" s="238">
        <f>IF(A62="","",D62-E62)</f>
        <v/>
      </c>
      <c r="G62" s="242">
        <f>IF(B62="","",B62+30)</f>
        <v/>
      </c>
      <c r="H62" s="243">
        <f>IF(A62="","",IF(F62=0,"Cobrado",IF(TODAY()&gt;G62,"Vencido","Pendiente")))</f>
        <v/>
      </c>
      <c r="I62" s="241">
        <f>IF(H62="Vencido",TODAY()-G62,0)</f>
        <v/>
      </c>
      <c r="J62" s="241">
        <f>IF(B62="","",MONTH(B62))</f>
        <v/>
      </c>
      <c r="K62" s="232" t="n"/>
      <c r="L62" s="243">
        <f>IF(H62="Vencido","Cobro urgente",IF(H62="Pendiente","Seguimiento","OK"))</f>
        <v/>
      </c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241">
        <f>Ventas!A66</f>
        <v/>
      </c>
      <c r="B63" s="242">
        <f>Ventas!B66</f>
        <v/>
      </c>
      <c r="C63" s="232">
        <f>Ventas!C66</f>
        <v/>
      </c>
      <c r="D63" s="238">
        <f>Ventas!H66</f>
        <v/>
      </c>
      <c r="E63" s="229" t="n">
        <v>0</v>
      </c>
      <c r="F63" s="238">
        <f>IF(A63="","",D63-E63)</f>
        <v/>
      </c>
      <c r="G63" s="242">
        <f>IF(B63="","",B63+30)</f>
        <v/>
      </c>
      <c r="H63" s="243">
        <f>IF(A63="","",IF(F63=0,"Cobrado",IF(TODAY()&gt;G63,"Vencido","Pendiente")))</f>
        <v/>
      </c>
      <c r="I63" s="241">
        <f>IF(H63="Vencido",TODAY()-G63,0)</f>
        <v/>
      </c>
      <c r="J63" s="241">
        <f>IF(B63="","",MONTH(B63))</f>
        <v/>
      </c>
      <c r="K63" s="232" t="n"/>
      <c r="L63" s="243">
        <f>IF(H63="Vencido","Cobro urgente",IF(H63="Pendiente","Seguimiento","OK"))</f>
        <v/>
      </c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241">
        <f>Ventas!A67</f>
        <v/>
      </c>
      <c r="B64" s="242">
        <f>Ventas!B67</f>
        <v/>
      </c>
      <c r="C64" s="232">
        <f>Ventas!C67</f>
        <v/>
      </c>
      <c r="D64" s="238">
        <f>Ventas!H67</f>
        <v/>
      </c>
      <c r="E64" s="229" t="n">
        <v>0</v>
      </c>
      <c r="F64" s="238">
        <f>IF(A64="","",D64-E64)</f>
        <v/>
      </c>
      <c r="G64" s="242">
        <f>IF(B64="","",B64+30)</f>
        <v/>
      </c>
      <c r="H64" s="243">
        <f>IF(A64="","",IF(F64=0,"Cobrado",IF(TODAY()&gt;G64,"Vencido","Pendiente")))</f>
        <v/>
      </c>
      <c r="I64" s="241">
        <f>IF(H64="Vencido",TODAY()-G64,0)</f>
        <v/>
      </c>
      <c r="J64" s="241">
        <f>IF(B64="","",MONTH(B64))</f>
        <v/>
      </c>
      <c r="K64" s="232" t="n"/>
      <c r="L64" s="243">
        <f>IF(H64="Vencido","Cobro urgente",IF(H64="Pendiente","Seguimiento","OK"))</f>
        <v/>
      </c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241">
        <f>Ventas!A68</f>
        <v/>
      </c>
      <c r="B65" s="242">
        <f>Ventas!B68</f>
        <v/>
      </c>
      <c r="C65" s="232">
        <f>Ventas!C68</f>
        <v/>
      </c>
      <c r="D65" s="238">
        <f>Ventas!H68</f>
        <v/>
      </c>
      <c r="E65" s="229" t="n">
        <v>0</v>
      </c>
      <c r="F65" s="238">
        <f>IF(A65="","",D65-E65)</f>
        <v/>
      </c>
      <c r="G65" s="242">
        <f>IF(B65="","",B65+30)</f>
        <v/>
      </c>
      <c r="H65" s="243">
        <f>IF(A65="","",IF(F65=0,"Cobrado",IF(TODAY()&gt;G65,"Vencido","Pendiente")))</f>
        <v/>
      </c>
      <c r="I65" s="241">
        <f>IF(H65="Vencido",TODAY()-G65,0)</f>
        <v/>
      </c>
      <c r="J65" s="241">
        <f>IF(B65="","",MONTH(B65))</f>
        <v/>
      </c>
      <c r="K65" s="232" t="n"/>
      <c r="L65" s="243">
        <f>IF(H65="Vencido","Cobro urgente",IF(H65="Pendiente","Seguimiento","OK"))</f>
        <v/>
      </c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241">
        <f>Ventas!A69</f>
        <v/>
      </c>
      <c r="B66" s="242">
        <f>Ventas!B69</f>
        <v/>
      </c>
      <c r="C66" s="232">
        <f>Ventas!C69</f>
        <v/>
      </c>
      <c r="D66" s="238">
        <f>Ventas!H69</f>
        <v/>
      </c>
      <c r="E66" s="229" t="n">
        <v>0</v>
      </c>
      <c r="F66" s="238">
        <f>IF(A66="","",D66-E66)</f>
        <v/>
      </c>
      <c r="G66" s="242">
        <f>IF(B66="","",B66+30)</f>
        <v/>
      </c>
      <c r="H66" s="243">
        <f>IF(A66="","",IF(F66=0,"Cobrado",IF(TODAY()&gt;G66,"Vencido","Pendiente")))</f>
        <v/>
      </c>
      <c r="I66" s="241">
        <f>IF(H66="Vencido",TODAY()-G66,0)</f>
        <v/>
      </c>
      <c r="J66" s="241">
        <f>IF(B66="","",MONTH(B66))</f>
        <v/>
      </c>
      <c r="K66" s="232" t="n"/>
      <c r="L66" s="243">
        <f>IF(H66="Vencido","Cobro urgente",IF(H66="Pendiente","Seguimiento","OK"))</f>
        <v/>
      </c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241">
        <f>Ventas!A70</f>
        <v/>
      </c>
      <c r="B67" s="242">
        <f>Ventas!B70</f>
        <v/>
      </c>
      <c r="C67" s="232">
        <f>Ventas!C70</f>
        <v/>
      </c>
      <c r="D67" s="238">
        <f>Ventas!H70</f>
        <v/>
      </c>
      <c r="E67" s="229" t="n">
        <v>0</v>
      </c>
      <c r="F67" s="238">
        <f>IF(A67="","",D67-E67)</f>
        <v/>
      </c>
      <c r="G67" s="242">
        <f>IF(B67="","",B67+30)</f>
        <v/>
      </c>
      <c r="H67" s="243">
        <f>IF(A67="","",IF(F67=0,"Cobrado",IF(TODAY()&gt;G67,"Vencido","Pendiente")))</f>
        <v/>
      </c>
      <c r="I67" s="241">
        <f>IF(H67="Vencido",TODAY()-G67,0)</f>
        <v/>
      </c>
      <c r="J67" s="241">
        <f>IF(B67="","",MONTH(B67))</f>
        <v/>
      </c>
      <c r="K67" s="232" t="n"/>
      <c r="L67" s="243">
        <f>IF(H67="Vencido","Cobro urgente",IF(H67="Pendiente","Seguimiento","OK"))</f>
        <v/>
      </c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241">
        <f>Ventas!A71</f>
        <v/>
      </c>
      <c r="B68" s="242">
        <f>Ventas!B71</f>
        <v/>
      </c>
      <c r="C68" s="232">
        <f>Ventas!C71</f>
        <v/>
      </c>
      <c r="D68" s="238">
        <f>Ventas!H71</f>
        <v/>
      </c>
      <c r="E68" s="229" t="n">
        <v>0</v>
      </c>
      <c r="F68" s="238">
        <f>IF(A68="","",D68-E68)</f>
        <v/>
      </c>
      <c r="G68" s="242">
        <f>IF(B68="","",B68+30)</f>
        <v/>
      </c>
      <c r="H68" s="243">
        <f>IF(A68="","",IF(F68=0,"Cobrado",IF(TODAY()&gt;G68,"Vencido","Pendiente")))</f>
        <v/>
      </c>
      <c r="I68" s="241">
        <f>IF(H68="Vencido",TODAY()-G68,0)</f>
        <v/>
      </c>
      <c r="J68" s="241">
        <f>IF(B68="","",MONTH(B68))</f>
        <v/>
      </c>
      <c r="K68" s="232" t="n"/>
      <c r="L68" s="243">
        <f>IF(H68="Vencido","Cobro urgente",IF(H68="Pendiente","Seguimiento","OK"))</f>
        <v/>
      </c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241">
        <f>Ventas!A72</f>
        <v/>
      </c>
      <c r="B69" s="242">
        <f>Ventas!B72</f>
        <v/>
      </c>
      <c r="C69" s="232">
        <f>Ventas!C72</f>
        <v/>
      </c>
      <c r="D69" s="238">
        <f>Ventas!H72</f>
        <v/>
      </c>
      <c r="E69" s="229" t="n">
        <v>0</v>
      </c>
      <c r="F69" s="238">
        <f>IF(A69="","",D69-E69)</f>
        <v/>
      </c>
      <c r="G69" s="242">
        <f>IF(B69="","",B69+30)</f>
        <v/>
      </c>
      <c r="H69" s="243">
        <f>IF(A69="","",IF(F69=0,"Cobrado",IF(TODAY()&gt;G69,"Vencido","Pendiente")))</f>
        <v/>
      </c>
      <c r="I69" s="241">
        <f>IF(H69="Vencido",TODAY()-G69,0)</f>
        <v/>
      </c>
      <c r="J69" s="241">
        <f>IF(B69="","",MONTH(B69))</f>
        <v/>
      </c>
      <c r="K69" s="232" t="n"/>
      <c r="L69" s="243">
        <f>IF(H69="Vencido","Cobro urgente",IF(H69="Pendiente","Seguimiento","OK"))</f>
        <v/>
      </c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241">
        <f>Ventas!A73</f>
        <v/>
      </c>
      <c r="B70" s="242">
        <f>Ventas!B73</f>
        <v/>
      </c>
      <c r="C70" s="232">
        <f>Ventas!C73</f>
        <v/>
      </c>
      <c r="D70" s="238">
        <f>Ventas!H73</f>
        <v/>
      </c>
      <c r="E70" s="229" t="n">
        <v>0</v>
      </c>
      <c r="F70" s="238">
        <f>IF(A70="","",D70-E70)</f>
        <v/>
      </c>
      <c r="G70" s="242">
        <f>IF(B70="","",B70+30)</f>
        <v/>
      </c>
      <c r="H70" s="243">
        <f>IF(A70="","",IF(F70=0,"Cobrado",IF(TODAY()&gt;G70,"Vencido","Pendiente")))</f>
        <v/>
      </c>
      <c r="I70" s="241">
        <f>IF(H70="Vencido",TODAY()-G70,0)</f>
        <v/>
      </c>
      <c r="J70" s="241">
        <f>IF(B70="","",MONTH(B70))</f>
        <v/>
      </c>
      <c r="K70" s="232" t="n"/>
      <c r="L70" s="243">
        <f>IF(H70="Vencido","Cobro urgente",IF(H70="Pendiente","Seguimiento","OK"))</f>
        <v/>
      </c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241">
        <f>Ventas!A74</f>
        <v/>
      </c>
      <c r="B71" s="242">
        <f>Ventas!B74</f>
        <v/>
      </c>
      <c r="C71" s="232">
        <f>Ventas!C74</f>
        <v/>
      </c>
      <c r="D71" s="238">
        <f>Ventas!H74</f>
        <v/>
      </c>
      <c r="E71" s="229" t="n">
        <v>0</v>
      </c>
      <c r="F71" s="238">
        <f>IF(A71="","",D71-E71)</f>
        <v/>
      </c>
      <c r="G71" s="242">
        <f>IF(B71="","",B71+30)</f>
        <v/>
      </c>
      <c r="H71" s="243">
        <f>IF(A71="","",IF(F71=0,"Cobrado",IF(TODAY()&gt;G71,"Vencido","Pendiente")))</f>
        <v/>
      </c>
      <c r="I71" s="241">
        <f>IF(H71="Vencido",TODAY()-G71,0)</f>
        <v/>
      </c>
      <c r="J71" s="241">
        <f>IF(B71="","",MONTH(B71))</f>
        <v/>
      </c>
      <c r="K71" s="232" t="n"/>
      <c r="L71" s="243">
        <f>IF(H71="Vencido","Cobro urgente",IF(H71="Pendiente","Seguimiento","OK"))</f>
        <v/>
      </c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241">
        <f>Ventas!A75</f>
        <v/>
      </c>
      <c r="B72" s="242">
        <f>Ventas!B75</f>
        <v/>
      </c>
      <c r="C72" s="232">
        <f>Ventas!C75</f>
        <v/>
      </c>
      <c r="D72" s="238">
        <f>Ventas!H75</f>
        <v/>
      </c>
      <c r="E72" s="229" t="n">
        <v>0</v>
      </c>
      <c r="F72" s="238">
        <f>IF(A72="","",D72-E72)</f>
        <v/>
      </c>
      <c r="G72" s="242">
        <f>IF(B72="","",B72+30)</f>
        <v/>
      </c>
      <c r="H72" s="243">
        <f>IF(A72="","",IF(F72=0,"Cobrado",IF(TODAY()&gt;G72,"Vencido","Pendiente")))</f>
        <v/>
      </c>
      <c r="I72" s="241">
        <f>IF(H72="Vencido",TODAY()-G72,0)</f>
        <v/>
      </c>
      <c r="J72" s="241">
        <f>IF(B72="","",MONTH(B72))</f>
        <v/>
      </c>
      <c r="K72" s="232" t="n"/>
      <c r="L72" s="243">
        <f>IF(H72="Vencido","Cobro urgente",IF(H72="Pendiente","Seguimiento","OK"))</f>
        <v/>
      </c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241">
        <f>Ventas!A76</f>
        <v/>
      </c>
      <c r="B73" s="242">
        <f>Ventas!B76</f>
        <v/>
      </c>
      <c r="C73" s="232">
        <f>Ventas!C76</f>
        <v/>
      </c>
      <c r="D73" s="238">
        <f>Ventas!H76</f>
        <v/>
      </c>
      <c r="E73" s="229" t="n">
        <v>0</v>
      </c>
      <c r="F73" s="238">
        <f>IF(A73="","",D73-E73)</f>
        <v/>
      </c>
      <c r="G73" s="242">
        <f>IF(B73="","",B73+30)</f>
        <v/>
      </c>
      <c r="H73" s="243">
        <f>IF(A73="","",IF(F73=0,"Cobrado",IF(TODAY()&gt;G73,"Vencido","Pendiente")))</f>
        <v/>
      </c>
      <c r="I73" s="241">
        <f>IF(H73="Vencido",TODAY()-G73,0)</f>
        <v/>
      </c>
      <c r="J73" s="241">
        <f>IF(B73="","",MONTH(B73))</f>
        <v/>
      </c>
      <c r="K73" s="232" t="n"/>
      <c r="L73" s="243">
        <f>IF(H73="Vencido","Cobro urgente",IF(H73="Pendiente","Seguimiento","OK"))</f>
        <v/>
      </c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241">
        <f>Ventas!A77</f>
        <v/>
      </c>
      <c r="B74" s="242">
        <f>Ventas!B77</f>
        <v/>
      </c>
      <c r="C74" s="232">
        <f>Ventas!C77</f>
        <v/>
      </c>
      <c r="D74" s="238">
        <f>Ventas!H77</f>
        <v/>
      </c>
      <c r="E74" s="229" t="n">
        <v>0</v>
      </c>
      <c r="F74" s="238">
        <f>IF(A74="","",D74-E74)</f>
        <v/>
      </c>
      <c r="G74" s="242">
        <f>IF(B74="","",B74+30)</f>
        <v/>
      </c>
      <c r="H74" s="243">
        <f>IF(A74="","",IF(F74=0,"Cobrado",IF(TODAY()&gt;G74,"Vencido","Pendiente")))</f>
        <v/>
      </c>
      <c r="I74" s="241">
        <f>IF(H74="Vencido",TODAY()-G74,0)</f>
        <v/>
      </c>
      <c r="J74" s="241">
        <f>IF(B74="","",MONTH(B74))</f>
        <v/>
      </c>
      <c r="K74" s="232" t="n"/>
      <c r="L74" s="243">
        <f>IF(H74="Vencido","Cobro urgente",IF(H74="Pendiente","Seguimiento","OK"))</f>
        <v/>
      </c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241">
        <f>Ventas!A78</f>
        <v/>
      </c>
      <c r="B75" s="242">
        <f>Ventas!B78</f>
        <v/>
      </c>
      <c r="C75" s="232">
        <f>Ventas!C78</f>
        <v/>
      </c>
      <c r="D75" s="238">
        <f>Ventas!H78</f>
        <v/>
      </c>
      <c r="E75" s="229" t="n">
        <v>0</v>
      </c>
      <c r="F75" s="238">
        <f>IF(A75="","",D75-E75)</f>
        <v/>
      </c>
      <c r="G75" s="242">
        <f>IF(B75="","",B75+30)</f>
        <v/>
      </c>
      <c r="H75" s="243">
        <f>IF(A75="","",IF(F75=0,"Cobrado",IF(TODAY()&gt;G75,"Vencido","Pendiente")))</f>
        <v/>
      </c>
      <c r="I75" s="241">
        <f>IF(H75="Vencido",TODAY()-G75,0)</f>
        <v/>
      </c>
      <c r="J75" s="241">
        <f>IF(B75="","",MONTH(B75))</f>
        <v/>
      </c>
      <c r="K75" s="232" t="n"/>
      <c r="L75" s="243">
        <f>IF(H75="Vencido","Cobro urgente",IF(H75="Pendiente","Seguimiento","OK"))</f>
        <v/>
      </c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241">
        <f>Ventas!A79</f>
        <v/>
      </c>
      <c r="B76" s="242">
        <f>Ventas!B79</f>
        <v/>
      </c>
      <c r="C76" s="232">
        <f>Ventas!C79</f>
        <v/>
      </c>
      <c r="D76" s="238">
        <f>Ventas!H79</f>
        <v/>
      </c>
      <c r="E76" s="229" t="n">
        <v>0</v>
      </c>
      <c r="F76" s="238">
        <f>IF(A76="","",D76-E76)</f>
        <v/>
      </c>
      <c r="G76" s="242">
        <f>IF(B76="","",B76+30)</f>
        <v/>
      </c>
      <c r="H76" s="243">
        <f>IF(A76="","",IF(F76=0,"Cobrado",IF(TODAY()&gt;G76,"Vencido","Pendiente")))</f>
        <v/>
      </c>
      <c r="I76" s="241">
        <f>IF(H76="Vencido",TODAY()-G76,0)</f>
        <v/>
      </c>
      <c r="J76" s="241">
        <f>IF(B76="","",MONTH(B76))</f>
        <v/>
      </c>
      <c r="K76" s="232" t="n"/>
      <c r="L76" s="243">
        <f>IF(H76="Vencido","Cobro urgente",IF(H76="Pendiente","Seguimiento","OK"))</f>
        <v/>
      </c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241">
        <f>Ventas!A80</f>
        <v/>
      </c>
      <c r="B77" s="242">
        <f>Ventas!B80</f>
        <v/>
      </c>
      <c r="C77" s="232">
        <f>Ventas!C80</f>
        <v/>
      </c>
      <c r="D77" s="238">
        <f>Ventas!H80</f>
        <v/>
      </c>
      <c r="E77" s="229" t="n">
        <v>0</v>
      </c>
      <c r="F77" s="238">
        <f>IF(A77="","",D77-E77)</f>
        <v/>
      </c>
      <c r="G77" s="242">
        <f>IF(B77="","",B77+30)</f>
        <v/>
      </c>
      <c r="H77" s="243">
        <f>IF(A77="","",IF(F77=0,"Cobrado",IF(TODAY()&gt;G77,"Vencido","Pendiente")))</f>
        <v/>
      </c>
      <c r="I77" s="241">
        <f>IF(H77="Vencido",TODAY()-G77,0)</f>
        <v/>
      </c>
      <c r="J77" s="241">
        <f>IF(B77="","",MONTH(B77))</f>
        <v/>
      </c>
      <c r="K77" s="232" t="n"/>
      <c r="L77" s="243">
        <f>IF(H77="Vencido","Cobro urgente",IF(H77="Pendiente","Seguimiento","OK"))</f>
        <v/>
      </c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241">
        <f>Ventas!A81</f>
        <v/>
      </c>
      <c r="B78" s="242">
        <f>Ventas!B81</f>
        <v/>
      </c>
      <c r="C78" s="232">
        <f>Ventas!C81</f>
        <v/>
      </c>
      <c r="D78" s="238">
        <f>Ventas!H81</f>
        <v/>
      </c>
      <c r="E78" s="229" t="n">
        <v>0</v>
      </c>
      <c r="F78" s="238">
        <f>IF(A78="","",D78-E78)</f>
        <v/>
      </c>
      <c r="G78" s="242">
        <f>IF(B78="","",B78+30)</f>
        <v/>
      </c>
      <c r="H78" s="243">
        <f>IF(A78="","",IF(F78=0,"Cobrado",IF(TODAY()&gt;G78,"Vencido","Pendiente")))</f>
        <v/>
      </c>
      <c r="I78" s="241">
        <f>IF(H78="Vencido",TODAY()-G78,0)</f>
        <v/>
      </c>
      <c r="J78" s="241">
        <f>IF(B78="","",MONTH(B78))</f>
        <v/>
      </c>
      <c r="K78" s="232" t="n"/>
      <c r="L78" s="243">
        <f>IF(H78="Vencido","Cobro urgente",IF(H78="Pendiente","Seguimiento","OK"))</f>
        <v/>
      </c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241">
        <f>Ventas!A82</f>
        <v/>
      </c>
      <c r="B79" s="242">
        <f>Ventas!B82</f>
        <v/>
      </c>
      <c r="C79" s="232">
        <f>Ventas!C82</f>
        <v/>
      </c>
      <c r="D79" s="238">
        <f>Ventas!H82</f>
        <v/>
      </c>
      <c r="E79" s="229" t="n">
        <v>0</v>
      </c>
      <c r="F79" s="238">
        <f>IF(A79="","",D79-E79)</f>
        <v/>
      </c>
      <c r="G79" s="242">
        <f>IF(B79="","",B79+30)</f>
        <v/>
      </c>
      <c r="H79" s="243">
        <f>IF(A79="","",IF(F79=0,"Cobrado",IF(TODAY()&gt;G79,"Vencido","Pendiente")))</f>
        <v/>
      </c>
      <c r="I79" s="241">
        <f>IF(H79="Vencido",TODAY()-G79,0)</f>
        <v/>
      </c>
      <c r="J79" s="241">
        <f>IF(B79="","",MONTH(B79))</f>
        <v/>
      </c>
      <c r="K79" s="232" t="n"/>
      <c r="L79" s="243">
        <f>IF(H79="Vencido","Cobro urgente",IF(H79="Pendiente","Seguimiento","OK"))</f>
        <v/>
      </c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241">
        <f>Ventas!A83</f>
        <v/>
      </c>
      <c r="B80" s="242">
        <f>Ventas!B83</f>
        <v/>
      </c>
      <c r="C80" s="232">
        <f>Ventas!C83</f>
        <v/>
      </c>
      <c r="D80" s="238">
        <f>Ventas!H83</f>
        <v/>
      </c>
      <c r="E80" s="229" t="n">
        <v>0</v>
      </c>
      <c r="F80" s="238">
        <f>IF(A80="","",D80-E80)</f>
        <v/>
      </c>
      <c r="G80" s="242">
        <f>IF(B80="","",B80+30)</f>
        <v/>
      </c>
      <c r="H80" s="243">
        <f>IF(A80="","",IF(F80=0,"Cobrado",IF(TODAY()&gt;G80,"Vencido","Pendiente")))</f>
        <v/>
      </c>
      <c r="I80" s="241">
        <f>IF(H80="Vencido",TODAY()-G80,0)</f>
        <v/>
      </c>
      <c r="J80" s="241">
        <f>IF(B80="","",MONTH(B80))</f>
        <v/>
      </c>
      <c r="K80" s="232" t="n"/>
      <c r="L80" s="243">
        <f>IF(H80="Vencido","Cobro urgente",IF(H80="Pendiente","Seguimiento","OK"))</f>
        <v/>
      </c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241">
        <f>Ventas!A84</f>
        <v/>
      </c>
      <c r="B81" s="242">
        <f>Ventas!B84</f>
        <v/>
      </c>
      <c r="C81" s="232">
        <f>Ventas!C84</f>
        <v/>
      </c>
      <c r="D81" s="238">
        <f>Ventas!H84</f>
        <v/>
      </c>
      <c r="E81" s="229" t="n">
        <v>0</v>
      </c>
      <c r="F81" s="238">
        <f>IF(A81="","",D81-E81)</f>
        <v/>
      </c>
      <c r="G81" s="242">
        <f>IF(B81="","",B81+30)</f>
        <v/>
      </c>
      <c r="H81" s="243">
        <f>IF(A81="","",IF(F81=0,"Cobrado",IF(TODAY()&gt;G81,"Vencido","Pendiente")))</f>
        <v/>
      </c>
      <c r="I81" s="241">
        <f>IF(H81="Vencido",TODAY()-G81,0)</f>
        <v/>
      </c>
      <c r="J81" s="241">
        <f>IF(B81="","",MONTH(B81))</f>
        <v/>
      </c>
      <c r="K81" s="232" t="n"/>
      <c r="L81" s="243">
        <f>IF(H81="Vencido","Cobro urgente",IF(H81="Pendiente","Seguimiento","OK"))</f>
        <v/>
      </c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241">
        <f>Ventas!A85</f>
        <v/>
      </c>
      <c r="B82" s="242">
        <f>Ventas!B85</f>
        <v/>
      </c>
      <c r="C82" s="232">
        <f>Ventas!C85</f>
        <v/>
      </c>
      <c r="D82" s="238">
        <f>Ventas!H85</f>
        <v/>
      </c>
      <c r="E82" s="229" t="n">
        <v>0</v>
      </c>
      <c r="F82" s="238">
        <f>IF(A82="","",D82-E82)</f>
        <v/>
      </c>
      <c r="G82" s="242">
        <f>IF(B82="","",B82+30)</f>
        <v/>
      </c>
      <c r="H82" s="243">
        <f>IF(A82="","",IF(F82=0,"Cobrado",IF(TODAY()&gt;G82,"Vencido","Pendiente")))</f>
        <v/>
      </c>
      <c r="I82" s="241">
        <f>IF(H82="Vencido",TODAY()-G82,0)</f>
        <v/>
      </c>
      <c r="J82" s="241">
        <f>IF(B82="","",MONTH(B82))</f>
        <v/>
      </c>
      <c r="K82" s="232" t="n"/>
      <c r="L82" s="243">
        <f>IF(H82="Vencido","Cobro urgente",IF(H82="Pendiente","Seguimiento","OK"))</f>
        <v/>
      </c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241">
        <f>Ventas!A86</f>
        <v/>
      </c>
      <c r="B83" s="242">
        <f>Ventas!B86</f>
        <v/>
      </c>
      <c r="C83" s="232">
        <f>Ventas!C86</f>
        <v/>
      </c>
      <c r="D83" s="238">
        <f>Ventas!H86</f>
        <v/>
      </c>
      <c r="E83" s="229" t="n">
        <v>0</v>
      </c>
      <c r="F83" s="238">
        <f>IF(A83="","",D83-E83)</f>
        <v/>
      </c>
      <c r="G83" s="242">
        <f>IF(B83="","",B83+30)</f>
        <v/>
      </c>
      <c r="H83" s="243">
        <f>IF(A83="","",IF(F83=0,"Cobrado",IF(TODAY()&gt;G83,"Vencido","Pendiente")))</f>
        <v/>
      </c>
      <c r="I83" s="241">
        <f>IF(H83="Vencido",TODAY()-G83,0)</f>
        <v/>
      </c>
      <c r="J83" s="241">
        <f>IF(B83="","",MONTH(B83))</f>
        <v/>
      </c>
      <c r="K83" s="232" t="n"/>
      <c r="L83" s="243">
        <f>IF(H83="Vencido","Cobro urgente",IF(H83="Pendiente","Seguimiento","OK"))</f>
        <v/>
      </c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241">
        <f>Ventas!A87</f>
        <v/>
      </c>
      <c r="B84" s="242">
        <f>Ventas!B87</f>
        <v/>
      </c>
      <c r="C84" s="232">
        <f>Ventas!C87</f>
        <v/>
      </c>
      <c r="D84" s="238">
        <f>Ventas!H87</f>
        <v/>
      </c>
      <c r="E84" s="229" t="n">
        <v>0</v>
      </c>
      <c r="F84" s="238">
        <f>IF(A84="","",D84-E84)</f>
        <v/>
      </c>
      <c r="G84" s="242">
        <f>IF(B84="","",B84+30)</f>
        <v/>
      </c>
      <c r="H84" s="243">
        <f>IF(A84="","",IF(F84=0,"Cobrado",IF(TODAY()&gt;G84,"Vencido","Pendiente")))</f>
        <v/>
      </c>
      <c r="I84" s="241">
        <f>IF(H84="Vencido",TODAY()-G84,0)</f>
        <v/>
      </c>
      <c r="J84" s="241">
        <f>IF(B84="","",MONTH(B84))</f>
        <v/>
      </c>
      <c r="K84" s="232" t="n"/>
      <c r="L84" s="243">
        <f>IF(H84="Vencido","Cobro urgente",IF(H84="Pendiente","Seguimiento","OK"))</f>
        <v/>
      </c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241">
        <f>Ventas!A88</f>
        <v/>
      </c>
      <c r="B85" s="242">
        <f>Ventas!B88</f>
        <v/>
      </c>
      <c r="C85" s="232">
        <f>Ventas!C88</f>
        <v/>
      </c>
      <c r="D85" s="238">
        <f>Ventas!H88</f>
        <v/>
      </c>
      <c r="E85" s="229" t="n">
        <v>0</v>
      </c>
      <c r="F85" s="238">
        <f>IF(A85="","",D85-E85)</f>
        <v/>
      </c>
      <c r="G85" s="242">
        <f>IF(B85="","",B85+30)</f>
        <v/>
      </c>
      <c r="H85" s="243">
        <f>IF(A85="","",IF(F85=0,"Cobrado",IF(TODAY()&gt;G85,"Vencido","Pendiente")))</f>
        <v/>
      </c>
      <c r="I85" s="241">
        <f>IF(H85="Vencido",TODAY()-G85,0)</f>
        <v/>
      </c>
      <c r="J85" s="241">
        <f>IF(B85="","",MONTH(B85))</f>
        <v/>
      </c>
      <c r="K85" s="232" t="n"/>
      <c r="L85" s="243">
        <f>IF(H85="Vencido","Cobro urgente",IF(H85="Pendiente","Seguimiento","OK"))</f>
        <v/>
      </c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241">
        <f>Ventas!A89</f>
        <v/>
      </c>
      <c r="B86" s="242">
        <f>Ventas!B89</f>
        <v/>
      </c>
      <c r="C86" s="232">
        <f>Ventas!C89</f>
        <v/>
      </c>
      <c r="D86" s="238">
        <f>Ventas!H89</f>
        <v/>
      </c>
      <c r="E86" s="229" t="n">
        <v>0</v>
      </c>
      <c r="F86" s="238">
        <f>IF(A86="","",D86-E86)</f>
        <v/>
      </c>
      <c r="G86" s="242">
        <f>IF(B86="","",B86+30)</f>
        <v/>
      </c>
      <c r="H86" s="243">
        <f>IF(A86="","",IF(F86=0,"Cobrado",IF(TODAY()&gt;G86,"Vencido","Pendiente")))</f>
        <v/>
      </c>
      <c r="I86" s="241">
        <f>IF(H86="Vencido",TODAY()-G86,0)</f>
        <v/>
      </c>
      <c r="J86" s="241">
        <f>IF(B86="","",MONTH(B86))</f>
        <v/>
      </c>
      <c r="K86" s="232" t="n"/>
      <c r="L86" s="243">
        <f>IF(H86="Vencido","Cobro urgente",IF(H86="Pendiente","Seguimiento","OK"))</f>
        <v/>
      </c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241">
        <f>Ventas!A90</f>
        <v/>
      </c>
      <c r="B87" s="242">
        <f>Ventas!B90</f>
        <v/>
      </c>
      <c r="C87" s="232">
        <f>Ventas!C90</f>
        <v/>
      </c>
      <c r="D87" s="238">
        <f>Ventas!H90</f>
        <v/>
      </c>
      <c r="E87" s="229" t="n">
        <v>0</v>
      </c>
      <c r="F87" s="238">
        <f>IF(A87="","",D87-E87)</f>
        <v/>
      </c>
      <c r="G87" s="242">
        <f>IF(B87="","",B87+30)</f>
        <v/>
      </c>
      <c r="H87" s="243">
        <f>IF(A87="","",IF(F87=0,"Cobrado",IF(TODAY()&gt;G87,"Vencido","Pendiente")))</f>
        <v/>
      </c>
      <c r="I87" s="241">
        <f>IF(H87="Vencido",TODAY()-G87,0)</f>
        <v/>
      </c>
      <c r="J87" s="241">
        <f>IF(B87="","",MONTH(B87))</f>
        <v/>
      </c>
      <c r="K87" s="232" t="n"/>
      <c r="L87" s="243">
        <f>IF(H87="Vencido","Cobro urgente",IF(H87="Pendiente","Seguimiento","OK"))</f>
        <v/>
      </c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241">
        <f>Ventas!A91</f>
        <v/>
      </c>
      <c r="B88" s="242">
        <f>Ventas!B91</f>
        <v/>
      </c>
      <c r="C88" s="232">
        <f>Ventas!C91</f>
        <v/>
      </c>
      <c r="D88" s="238">
        <f>Ventas!H91</f>
        <v/>
      </c>
      <c r="E88" s="229" t="n">
        <v>0</v>
      </c>
      <c r="F88" s="238">
        <f>IF(A88="","",D88-E88)</f>
        <v/>
      </c>
      <c r="G88" s="242">
        <f>IF(B88="","",B88+30)</f>
        <v/>
      </c>
      <c r="H88" s="243">
        <f>IF(A88="","",IF(F88=0,"Cobrado",IF(TODAY()&gt;G88,"Vencido","Pendiente")))</f>
        <v/>
      </c>
      <c r="I88" s="241">
        <f>IF(H88="Vencido",TODAY()-G88,0)</f>
        <v/>
      </c>
      <c r="J88" s="241">
        <f>IF(B88="","",MONTH(B88))</f>
        <v/>
      </c>
      <c r="K88" s="232" t="n"/>
      <c r="L88" s="243">
        <f>IF(H88="Vencido","Cobro urgente",IF(H88="Pendiente","Seguimiento","OK"))</f>
        <v/>
      </c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241">
        <f>Ventas!A92</f>
        <v/>
      </c>
      <c r="B89" s="242">
        <f>Ventas!B92</f>
        <v/>
      </c>
      <c r="C89" s="232">
        <f>Ventas!C92</f>
        <v/>
      </c>
      <c r="D89" s="238">
        <f>Ventas!H92</f>
        <v/>
      </c>
      <c r="E89" s="229" t="n">
        <v>0</v>
      </c>
      <c r="F89" s="238">
        <f>IF(A89="","",D89-E89)</f>
        <v/>
      </c>
      <c r="G89" s="242">
        <f>IF(B89="","",B89+30)</f>
        <v/>
      </c>
      <c r="H89" s="243">
        <f>IF(A89="","",IF(F89=0,"Cobrado",IF(TODAY()&gt;G89,"Vencido","Pendiente")))</f>
        <v/>
      </c>
      <c r="I89" s="241">
        <f>IF(H89="Vencido",TODAY()-G89,0)</f>
        <v/>
      </c>
      <c r="J89" s="241">
        <f>IF(B89="","",MONTH(B89))</f>
        <v/>
      </c>
      <c r="K89" s="232" t="n"/>
      <c r="L89" s="243">
        <f>IF(H89="Vencido","Cobro urgente",IF(H89="Pendiente","Seguimiento","OK"))</f>
        <v/>
      </c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conditionalFormatting sqref="H5:H104">
    <cfRule type="cellIs" priority="1" operator="equal" dxfId="4">
      <formula>"Vencido"</formula>
    </cfRule>
    <cfRule type="cellIs" priority="2" operator="equal" dxfId="2">
      <formula>"Cobrado"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7E3AF2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2"/>
    <col width="22" customWidth="1" style="22" min="3" max="3"/>
    <col width="16" customWidth="1" style="22" min="4" max="6"/>
    <col width="14" customWidth="1" style="22" min="7" max="7"/>
    <col width="16" customWidth="1" style="22" min="8" max="8"/>
    <col width="14" customWidth="1" style="22" min="9" max="10"/>
    <col width="16" customWidth="1" style="22" min="11" max="11"/>
  </cols>
  <sheetData>
    <row r="1" ht="6" customHeight="1" s="22">
      <c r="A1" s="132" t="inlineStr">
        <is>
          <t>Cuentas por pagar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📤  CUENTAS POR PAGAR</t>
        </is>
      </c>
      <c r="Q2" s="135" t="inlineStr">
        <is>
          <t>Control Tesorería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144">
        <f>SUMIFS(F:F,H:H,"Pendiente")+SUMIFS(F:F,H:H,"Vencido")</f>
        <v/>
      </c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7" t="inlineStr">
        <is>
          <t>N° OC</t>
        </is>
      </c>
      <c r="B4" s="7" t="inlineStr">
        <is>
          <t>FECHA</t>
        </is>
      </c>
      <c r="C4" s="7" t="inlineStr">
        <is>
          <t>PROVEEDOR</t>
        </is>
      </c>
      <c r="D4" s="7" t="inlineStr">
        <is>
          <t>IMPORTE COMPRA</t>
        </is>
      </c>
      <c r="E4" s="7" t="inlineStr">
        <is>
          <t>IMPORTE PAGADO</t>
        </is>
      </c>
      <c r="F4" s="7" t="inlineStr">
        <is>
          <t>SALDO PENDIENTE</t>
        </is>
      </c>
      <c r="G4" s="7" t="inlineStr">
        <is>
          <t>FECHA VENC.</t>
        </is>
      </c>
      <c r="H4" s="7" t="inlineStr">
        <is>
          <t>ESTADO</t>
        </is>
      </c>
      <c r="I4" s="7" t="inlineStr">
        <is>
          <t>DÍAS ATRASO</t>
        </is>
      </c>
      <c r="J4" s="7" t="inlineStr">
        <is>
          <t>OBS.</t>
        </is>
      </c>
      <c r="K4" s="7" t="inlineStr">
        <is>
          <t>ALERTA</t>
        </is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17">
        <f>Compras!A8</f>
        <v/>
      </c>
      <c r="B5" s="158">
        <f>Compras!B8</f>
        <v/>
      </c>
      <c r="C5" s="6">
        <f>Compras!C8</f>
        <v/>
      </c>
      <c r="D5" s="16">
        <f>Compras!H8</f>
        <v/>
      </c>
      <c r="E5" s="5" t="n">
        <v>0</v>
      </c>
      <c r="F5" s="16">
        <f>IF(A5="","",D5-E5)</f>
        <v/>
      </c>
      <c r="G5" s="158">
        <f>IF(B5="","",B5+30)</f>
        <v/>
      </c>
      <c r="H5" s="159">
        <f>IF(A5="","",IF(F5=0,"Pagado",IF(TODAY()&gt;G5,"Vencido","Pendiente")))</f>
        <v/>
      </c>
      <c r="I5" s="17">
        <f>IF(H5="Vencido",TODAY()-G5,0)</f>
        <v/>
      </c>
      <c r="J5" s="6" t="n"/>
      <c r="K5" s="159">
        <f>IF(H5="Vencido","Pago urgente",IF(H5="Pendiente","Programar pago","OK"))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7">
        <f>Compras!A9</f>
        <v/>
      </c>
      <c r="B6" s="158">
        <f>Compras!B9</f>
        <v/>
      </c>
      <c r="C6" s="6">
        <f>Compras!C9</f>
        <v/>
      </c>
      <c r="D6" s="16">
        <f>Compras!H9</f>
        <v/>
      </c>
      <c r="E6" s="5" t="n">
        <v>0</v>
      </c>
      <c r="F6" s="16">
        <f>IF(A6="","",D6-E6)</f>
        <v/>
      </c>
      <c r="G6" s="158">
        <f>IF(B6="","",B6+30)</f>
        <v/>
      </c>
      <c r="H6" s="159">
        <f>IF(A6="","",IF(F6=0,"Pagado",IF(TODAY()&gt;G6,"Vencido","Pendiente")))</f>
        <v/>
      </c>
      <c r="I6" s="17">
        <f>IF(H6="Vencido",TODAY()-G6,0)</f>
        <v/>
      </c>
      <c r="J6" s="6" t="n"/>
      <c r="K6" s="159">
        <f>IF(H6="Vencido","Pago urgente",IF(H6="Pendiente","Programar pago","OK"))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7">
        <f>Compras!A10</f>
        <v/>
      </c>
      <c r="B7" s="158">
        <f>Compras!B10</f>
        <v/>
      </c>
      <c r="C7" s="6">
        <f>Compras!C10</f>
        <v/>
      </c>
      <c r="D7" s="16">
        <f>Compras!H10</f>
        <v/>
      </c>
      <c r="E7" s="5" t="n">
        <v>0</v>
      </c>
      <c r="F7" s="16">
        <f>IF(A7="","",D7-E7)</f>
        <v/>
      </c>
      <c r="G7" s="158">
        <f>IF(B7="","",B7+30)</f>
        <v/>
      </c>
      <c r="H7" s="159">
        <f>IF(A7="","",IF(F7=0,"Pagado",IF(TODAY()&gt;G7,"Vencido","Pendiente")))</f>
        <v/>
      </c>
      <c r="I7" s="17">
        <f>IF(H7="Vencido",TODAY()-G7,0)</f>
        <v/>
      </c>
      <c r="J7" s="6" t="n"/>
      <c r="K7" s="159">
        <f>IF(H7="Vencido","Pago urgente",IF(H7="Pendiente","Programar pago","OK"))</f>
        <v/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241">
        <f>Compras!A11</f>
        <v/>
      </c>
      <c r="B8" s="242">
        <f>Compras!B11</f>
        <v/>
      </c>
      <c r="C8" s="232">
        <f>Compras!C11</f>
        <v/>
      </c>
      <c r="D8" s="238">
        <f>Compras!H11</f>
        <v/>
      </c>
      <c r="E8" s="229" t="n">
        <v>0</v>
      </c>
      <c r="F8" s="238">
        <f>IF(A8="","",D8-E8)</f>
        <v/>
      </c>
      <c r="G8" s="242">
        <f>IF(B8="","",B8+30)</f>
        <v/>
      </c>
      <c r="H8" s="243">
        <f>IF(A8="","",IF(F8=0,"Pagado",IF(TODAY()&gt;G8,"Vencido","Pendiente")))</f>
        <v/>
      </c>
      <c r="I8" s="241">
        <f>IF(H8="Vencido",TODAY()-G8,0)</f>
        <v/>
      </c>
      <c r="J8" s="232" t="n"/>
      <c r="K8" s="243">
        <f>IF(H8="Vencido","Pago urgente",IF(H8="Pendiente","Programar pago","OK"))</f>
        <v/>
      </c>
      <c r="L8" s="192" t="n"/>
      <c r="M8" s="192" t="n"/>
      <c r="N8" s="192" t="n"/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241">
        <f>Compras!A12</f>
        <v/>
      </c>
      <c r="B9" s="242">
        <f>Compras!B12</f>
        <v/>
      </c>
      <c r="C9" s="232">
        <f>Compras!C12</f>
        <v/>
      </c>
      <c r="D9" s="238">
        <f>Compras!H12</f>
        <v/>
      </c>
      <c r="E9" s="229" t="n">
        <v>0</v>
      </c>
      <c r="F9" s="238">
        <f>IF(A9="","",D9-E9)</f>
        <v/>
      </c>
      <c r="G9" s="242">
        <f>IF(B9="","",B9+30)</f>
        <v/>
      </c>
      <c r="H9" s="243">
        <f>IF(A9="","",IF(F9=0,"Pagado",IF(TODAY()&gt;G9,"Vencido","Pendiente")))</f>
        <v/>
      </c>
      <c r="I9" s="241">
        <f>IF(H9="Vencido",TODAY()-G9,0)</f>
        <v/>
      </c>
      <c r="J9" s="232" t="n"/>
      <c r="K9" s="243">
        <f>IF(H9="Vencido","Pago urgente",IF(H9="Pendiente","Programar pago","OK"))</f>
        <v/>
      </c>
      <c r="L9" s="192" t="n"/>
      <c r="M9" s="192" t="n"/>
      <c r="N9" s="192" t="n"/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241">
        <f>Compras!A13</f>
        <v/>
      </c>
      <c r="B10" s="242">
        <f>Compras!B13</f>
        <v/>
      </c>
      <c r="C10" s="232">
        <f>Compras!C13</f>
        <v/>
      </c>
      <c r="D10" s="238">
        <f>Compras!H13</f>
        <v/>
      </c>
      <c r="E10" s="229" t="n">
        <v>0</v>
      </c>
      <c r="F10" s="238">
        <f>IF(A10="","",D10-E10)</f>
        <v/>
      </c>
      <c r="G10" s="242">
        <f>IF(B10="","",B10+30)</f>
        <v/>
      </c>
      <c r="H10" s="243">
        <f>IF(A10="","",IF(F10=0,"Pagado",IF(TODAY()&gt;G10,"Vencido","Pendiente")))</f>
        <v/>
      </c>
      <c r="I10" s="241">
        <f>IF(H10="Vencido",TODAY()-G10,0)</f>
        <v/>
      </c>
      <c r="J10" s="232" t="n"/>
      <c r="K10" s="243">
        <f>IF(H10="Vencido","Pago urgente",IF(H10="Pendiente","Programar pago","OK"))</f>
        <v/>
      </c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241">
        <f>Compras!A14</f>
        <v/>
      </c>
      <c r="B11" s="242">
        <f>Compras!B14</f>
        <v/>
      </c>
      <c r="C11" s="232">
        <f>Compras!C14</f>
        <v/>
      </c>
      <c r="D11" s="238">
        <f>Compras!H14</f>
        <v/>
      </c>
      <c r="E11" s="229" t="n">
        <v>0</v>
      </c>
      <c r="F11" s="238">
        <f>IF(A11="","",D11-E11)</f>
        <v/>
      </c>
      <c r="G11" s="242">
        <f>IF(B11="","",B11+30)</f>
        <v/>
      </c>
      <c r="H11" s="243">
        <f>IF(A11="","",IF(F11=0,"Pagado",IF(TODAY()&gt;G11,"Vencido","Pendiente")))</f>
        <v/>
      </c>
      <c r="I11" s="241">
        <f>IF(H11="Vencido",TODAY()-G11,0)</f>
        <v/>
      </c>
      <c r="J11" s="232" t="n"/>
      <c r="K11" s="243">
        <f>IF(H11="Vencido","Pago urgente",IF(H11="Pendiente","Programar pago","OK"))</f>
        <v/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241">
        <f>Compras!A15</f>
        <v/>
      </c>
      <c r="B12" s="242">
        <f>Compras!B15</f>
        <v/>
      </c>
      <c r="C12" s="232">
        <f>Compras!C15</f>
        <v/>
      </c>
      <c r="D12" s="238">
        <f>Compras!H15</f>
        <v/>
      </c>
      <c r="E12" s="229" t="n">
        <v>0</v>
      </c>
      <c r="F12" s="238">
        <f>IF(A12="","",D12-E12)</f>
        <v/>
      </c>
      <c r="G12" s="242">
        <f>IF(B12="","",B12+30)</f>
        <v/>
      </c>
      <c r="H12" s="243">
        <f>IF(A12="","",IF(F12=0,"Pagado",IF(TODAY()&gt;G12,"Vencido","Pendiente")))</f>
        <v/>
      </c>
      <c r="I12" s="241">
        <f>IF(H12="Vencido",TODAY()-G12,0)</f>
        <v/>
      </c>
      <c r="J12" s="232" t="n"/>
      <c r="K12" s="243">
        <f>IF(H12="Vencido","Pago urgente",IF(H12="Pendiente","Programar pago","OK"))</f>
        <v/>
      </c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241">
        <f>Compras!A16</f>
        <v/>
      </c>
      <c r="B13" s="242">
        <f>Compras!B16</f>
        <v/>
      </c>
      <c r="C13" s="232">
        <f>Compras!C16</f>
        <v/>
      </c>
      <c r="D13" s="238">
        <f>Compras!H16</f>
        <v/>
      </c>
      <c r="E13" s="229" t="n">
        <v>0</v>
      </c>
      <c r="F13" s="238">
        <f>IF(A13="","",D13-E13)</f>
        <v/>
      </c>
      <c r="G13" s="242">
        <f>IF(B13="","",B13+30)</f>
        <v/>
      </c>
      <c r="H13" s="243">
        <f>IF(A13="","",IF(F13=0,"Pagado",IF(TODAY()&gt;G13,"Vencido","Pendiente")))</f>
        <v/>
      </c>
      <c r="I13" s="241">
        <f>IF(H13="Vencido",TODAY()-G13,0)</f>
        <v/>
      </c>
      <c r="J13" s="232" t="n"/>
      <c r="K13" s="243">
        <f>IF(H13="Vencido","Pago urgente",IF(H13="Pendiente","Programar pago","OK"))</f>
        <v/>
      </c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241">
        <f>Compras!A17</f>
        <v/>
      </c>
      <c r="B14" s="242">
        <f>Compras!B17</f>
        <v/>
      </c>
      <c r="C14" s="232">
        <f>Compras!C17</f>
        <v/>
      </c>
      <c r="D14" s="238">
        <f>Compras!H17</f>
        <v/>
      </c>
      <c r="E14" s="229" t="n">
        <v>0</v>
      </c>
      <c r="F14" s="238">
        <f>IF(A14="","",D14-E14)</f>
        <v/>
      </c>
      <c r="G14" s="242">
        <f>IF(B14="","",B14+30)</f>
        <v/>
      </c>
      <c r="H14" s="243">
        <f>IF(A14="","",IF(F14=0,"Pagado",IF(TODAY()&gt;G14,"Vencido","Pendiente")))</f>
        <v/>
      </c>
      <c r="I14" s="241">
        <f>IF(H14="Vencido",TODAY()-G14,0)</f>
        <v/>
      </c>
      <c r="J14" s="232" t="n"/>
      <c r="K14" s="243">
        <f>IF(H14="Vencido","Pago urgente",IF(H14="Pendiente","Programar pago","OK"))</f>
        <v/>
      </c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241">
        <f>Compras!A18</f>
        <v/>
      </c>
      <c r="B15" s="242">
        <f>Compras!B18</f>
        <v/>
      </c>
      <c r="C15" s="232">
        <f>Compras!C18</f>
        <v/>
      </c>
      <c r="D15" s="238">
        <f>Compras!H18</f>
        <v/>
      </c>
      <c r="E15" s="229" t="n">
        <v>0</v>
      </c>
      <c r="F15" s="238">
        <f>IF(A15="","",D15-E15)</f>
        <v/>
      </c>
      <c r="G15" s="242">
        <f>IF(B15="","",B15+30)</f>
        <v/>
      </c>
      <c r="H15" s="243">
        <f>IF(A15="","",IF(F15=0,"Pagado",IF(TODAY()&gt;G15,"Vencido","Pendiente")))</f>
        <v/>
      </c>
      <c r="I15" s="241">
        <f>IF(H15="Vencido",TODAY()-G15,0)</f>
        <v/>
      </c>
      <c r="J15" s="232" t="n"/>
      <c r="K15" s="243">
        <f>IF(H15="Vencido","Pago urgente",IF(H15="Pendiente","Programar pago","OK"))</f>
        <v/>
      </c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241">
        <f>Compras!A19</f>
        <v/>
      </c>
      <c r="B16" s="242">
        <f>Compras!B19</f>
        <v/>
      </c>
      <c r="C16" s="232">
        <f>Compras!C19</f>
        <v/>
      </c>
      <c r="D16" s="238">
        <f>Compras!H19</f>
        <v/>
      </c>
      <c r="E16" s="229" t="n">
        <v>0</v>
      </c>
      <c r="F16" s="238">
        <f>IF(A16="","",D16-E16)</f>
        <v/>
      </c>
      <c r="G16" s="242">
        <f>IF(B16="","",B16+30)</f>
        <v/>
      </c>
      <c r="H16" s="243">
        <f>IF(A16="","",IF(F16=0,"Pagado",IF(TODAY()&gt;G16,"Vencido","Pendiente")))</f>
        <v/>
      </c>
      <c r="I16" s="241">
        <f>IF(H16="Vencido",TODAY()-G16,0)</f>
        <v/>
      </c>
      <c r="J16" s="232" t="n"/>
      <c r="K16" s="243">
        <f>IF(H16="Vencido","Pago urgente",IF(H16="Pendiente","Programar pago","OK"))</f>
        <v/>
      </c>
      <c r="L16" s="192" t="n"/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241">
        <f>Compras!A20</f>
        <v/>
      </c>
      <c r="B17" s="242">
        <f>Compras!B20</f>
        <v/>
      </c>
      <c r="C17" s="232">
        <f>Compras!C20</f>
        <v/>
      </c>
      <c r="D17" s="238">
        <f>Compras!H20</f>
        <v/>
      </c>
      <c r="E17" s="229" t="n">
        <v>0</v>
      </c>
      <c r="F17" s="238">
        <f>IF(A17="","",D17-E17)</f>
        <v/>
      </c>
      <c r="G17" s="242">
        <f>IF(B17="","",B17+30)</f>
        <v/>
      </c>
      <c r="H17" s="243">
        <f>IF(A17="","",IF(F17=0,"Pagado",IF(TODAY()&gt;G17,"Vencido","Pendiente")))</f>
        <v/>
      </c>
      <c r="I17" s="241">
        <f>IF(H17="Vencido",TODAY()-G17,0)</f>
        <v/>
      </c>
      <c r="J17" s="232" t="n"/>
      <c r="K17" s="243">
        <f>IF(H17="Vencido","Pago urgente",IF(H17="Pendiente","Programar pago","OK"))</f>
        <v/>
      </c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241">
        <f>Compras!A21</f>
        <v/>
      </c>
      <c r="B18" s="242">
        <f>Compras!B21</f>
        <v/>
      </c>
      <c r="C18" s="232">
        <f>Compras!C21</f>
        <v/>
      </c>
      <c r="D18" s="238">
        <f>Compras!H21</f>
        <v/>
      </c>
      <c r="E18" s="229" t="n">
        <v>0</v>
      </c>
      <c r="F18" s="238">
        <f>IF(A18="","",D18-E18)</f>
        <v/>
      </c>
      <c r="G18" s="242">
        <f>IF(B18="","",B18+30)</f>
        <v/>
      </c>
      <c r="H18" s="243">
        <f>IF(A18="","",IF(F18=0,"Pagado",IF(TODAY()&gt;G18,"Vencido","Pendiente")))</f>
        <v/>
      </c>
      <c r="I18" s="241">
        <f>IF(H18="Vencido",TODAY()-G18,0)</f>
        <v/>
      </c>
      <c r="J18" s="232" t="n"/>
      <c r="K18" s="243">
        <f>IF(H18="Vencido","Pago urgente",IF(H18="Pendiente","Programar pago","OK"))</f>
        <v/>
      </c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241">
        <f>Compras!A22</f>
        <v/>
      </c>
      <c r="B19" s="242">
        <f>Compras!B22</f>
        <v/>
      </c>
      <c r="C19" s="232">
        <f>Compras!C22</f>
        <v/>
      </c>
      <c r="D19" s="238">
        <f>Compras!H22</f>
        <v/>
      </c>
      <c r="E19" s="229" t="n">
        <v>0</v>
      </c>
      <c r="F19" s="238">
        <f>IF(A19="","",D19-E19)</f>
        <v/>
      </c>
      <c r="G19" s="242">
        <f>IF(B19="","",B19+30)</f>
        <v/>
      </c>
      <c r="H19" s="243">
        <f>IF(A19="","",IF(F19=0,"Pagado",IF(TODAY()&gt;G19,"Vencido","Pendiente")))</f>
        <v/>
      </c>
      <c r="I19" s="241">
        <f>IF(H19="Vencido",TODAY()-G19,0)</f>
        <v/>
      </c>
      <c r="J19" s="232" t="n"/>
      <c r="K19" s="243">
        <f>IF(H19="Vencido","Pago urgente",IF(H19="Pendiente","Programar pago","OK"))</f>
        <v/>
      </c>
      <c r="L19" s="192" t="n"/>
      <c r="M19" s="192" t="n"/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241">
        <f>Compras!A23</f>
        <v/>
      </c>
      <c r="B20" s="242">
        <f>Compras!B23</f>
        <v/>
      </c>
      <c r="C20" s="232">
        <f>Compras!C23</f>
        <v/>
      </c>
      <c r="D20" s="238">
        <f>Compras!H23</f>
        <v/>
      </c>
      <c r="E20" s="229" t="n">
        <v>0</v>
      </c>
      <c r="F20" s="238">
        <f>IF(A20="","",D20-E20)</f>
        <v/>
      </c>
      <c r="G20" s="242">
        <f>IF(B20="","",B20+30)</f>
        <v/>
      </c>
      <c r="H20" s="243">
        <f>IF(A20="","",IF(F20=0,"Pagado",IF(TODAY()&gt;G20,"Vencido","Pendiente")))</f>
        <v/>
      </c>
      <c r="I20" s="241">
        <f>IF(H20="Vencido",TODAY()-G20,0)</f>
        <v/>
      </c>
      <c r="J20" s="232" t="n"/>
      <c r="K20" s="243">
        <f>IF(H20="Vencido","Pago urgente",IF(H20="Pendiente","Programar pago","OK"))</f>
        <v/>
      </c>
      <c r="L20" s="192" t="n"/>
      <c r="M20" s="192" t="n"/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241">
        <f>Compras!A24</f>
        <v/>
      </c>
      <c r="B21" s="242">
        <f>Compras!B24</f>
        <v/>
      </c>
      <c r="C21" s="232">
        <f>Compras!C24</f>
        <v/>
      </c>
      <c r="D21" s="238">
        <f>Compras!H24</f>
        <v/>
      </c>
      <c r="E21" s="229" t="n">
        <v>0</v>
      </c>
      <c r="F21" s="238">
        <f>IF(A21="","",D21-E21)</f>
        <v/>
      </c>
      <c r="G21" s="242">
        <f>IF(B21="","",B21+30)</f>
        <v/>
      </c>
      <c r="H21" s="243">
        <f>IF(A21="","",IF(F21=0,"Pagado",IF(TODAY()&gt;G21,"Vencido","Pendiente")))</f>
        <v/>
      </c>
      <c r="I21" s="241">
        <f>IF(H21="Vencido",TODAY()-G21,0)</f>
        <v/>
      </c>
      <c r="J21" s="232" t="n"/>
      <c r="K21" s="243">
        <f>IF(H21="Vencido","Pago urgente",IF(H21="Pendiente","Programar pago","OK"))</f>
        <v/>
      </c>
      <c r="L21" s="192" t="n"/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241">
        <f>Compras!A25</f>
        <v/>
      </c>
      <c r="B22" s="242">
        <f>Compras!B25</f>
        <v/>
      </c>
      <c r="C22" s="232">
        <f>Compras!C25</f>
        <v/>
      </c>
      <c r="D22" s="238">
        <f>Compras!H25</f>
        <v/>
      </c>
      <c r="E22" s="229" t="n">
        <v>0</v>
      </c>
      <c r="F22" s="238">
        <f>IF(A22="","",D22-E22)</f>
        <v/>
      </c>
      <c r="G22" s="242">
        <f>IF(B22="","",B22+30)</f>
        <v/>
      </c>
      <c r="H22" s="243">
        <f>IF(A22="","",IF(F22=0,"Pagado",IF(TODAY()&gt;G22,"Vencido","Pendiente")))</f>
        <v/>
      </c>
      <c r="I22" s="241">
        <f>IF(H22="Vencido",TODAY()-G22,0)</f>
        <v/>
      </c>
      <c r="J22" s="232" t="n"/>
      <c r="K22" s="243">
        <f>IF(H22="Vencido","Pago urgente",IF(H22="Pendiente","Programar pago","OK"))</f>
        <v/>
      </c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241">
        <f>Compras!A26</f>
        <v/>
      </c>
      <c r="B23" s="242">
        <f>Compras!B26</f>
        <v/>
      </c>
      <c r="C23" s="232">
        <f>Compras!C26</f>
        <v/>
      </c>
      <c r="D23" s="238">
        <f>Compras!H26</f>
        <v/>
      </c>
      <c r="E23" s="229" t="n">
        <v>0</v>
      </c>
      <c r="F23" s="238">
        <f>IF(A23="","",D23-E23)</f>
        <v/>
      </c>
      <c r="G23" s="242">
        <f>IF(B23="","",B23+30)</f>
        <v/>
      </c>
      <c r="H23" s="243">
        <f>IF(A23="","",IF(F23=0,"Pagado",IF(TODAY()&gt;G23,"Vencido","Pendiente")))</f>
        <v/>
      </c>
      <c r="I23" s="241">
        <f>IF(H23="Vencido",TODAY()-G23,0)</f>
        <v/>
      </c>
      <c r="J23" s="232" t="n"/>
      <c r="K23" s="243">
        <f>IF(H23="Vencido","Pago urgente",IF(H23="Pendiente","Programar pago","OK"))</f>
        <v/>
      </c>
      <c r="L23" s="192" t="n"/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241">
        <f>Compras!A27</f>
        <v/>
      </c>
      <c r="B24" s="242">
        <f>Compras!B27</f>
        <v/>
      </c>
      <c r="C24" s="232">
        <f>Compras!C27</f>
        <v/>
      </c>
      <c r="D24" s="238">
        <f>Compras!H27</f>
        <v/>
      </c>
      <c r="E24" s="229" t="n">
        <v>0</v>
      </c>
      <c r="F24" s="238">
        <f>IF(A24="","",D24-E24)</f>
        <v/>
      </c>
      <c r="G24" s="242">
        <f>IF(B24="","",B24+30)</f>
        <v/>
      </c>
      <c r="H24" s="243">
        <f>IF(A24="","",IF(F24=0,"Pagado",IF(TODAY()&gt;G24,"Vencido","Pendiente")))</f>
        <v/>
      </c>
      <c r="I24" s="241">
        <f>IF(H24="Vencido",TODAY()-G24,0)</f>
        <v/>
      </c>
      <c r="J24" s="232" t="n"/>
      <c r="K24" s="243">
        <f>IF(H24="Vencido","Pago urgente",IF(H24="Pendiente","Programar pago","OK"))</f>
        <v/>
      </c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241">
        <f>Compras!A28</f>
        <v/>
      </c>
      <c r="B25" s="242">
        <f>Compras!B28</f>
        <v/>
      </c>
      <c r="C25" s="232">
        <f>Compras!C28</f>
        <v/>
      </c>
      <c r="D25" s="238">
        <f>Compras!H28</f>
        <v/>
      </c>
      <c r="E25" s="229" t="n">
        <v>0</v>
      </c>
      <c r="F25" s="238">
        <f>IF(A25="","",D25-E25)</f>
        <v/>
      </c>
      <c r="G25" s="242">
        <f>IF(B25="","",B25+30)</f>
        <v/>
      </c>
      <c r="H25" s="243">
        <f>IF(A25="","",IF(F25=0,"Pagado",IF(TODAY()&gt;G25,"Vencido","Pendiente")))</f>
        <v/>
      </c>
      <c r="I25" s="241">
        <f>IF(H25="Vencido",TODAY()-G25,0)</f>
        <v/>
      </c>
      <c r="J25" s="232" t="n"/>
      <c r="K25" s="243">
        <f>IF(H25="Vencido","Pago urgente",IF(H25="Pendiente","Programar pago","OK"))</f>
        <v/>
      </c>
      <c r="L25" s="192" t="n"/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241">
        <f>Compras!A29</f>
        <v/>
      </c>
      <c r="B26" s="242">
        <f>Compras!B29</f>
        <v/>
      </c>
      <c r="C26" s="232">
        <f>Compras!C29</f>
        <v/>
      </c>
      <c r="D26" s="238">
        <f>Compras!H29</f>
        <v/>
      </c>
      <c r="E26" s="229" t="n">
        <v>0</v>
      </c>
      <c r="F26" s="238">
        <f>IF(A26="","",D26-E26)</f>
        <v/>
      </c>
      <c r="G26" s="242">
        <f>IF(B26="","",B26+30)</f>
        <v/>
      </c>
      <c r="H26" s="243">
        <f>IF(A26="","",IF(F26=0,"Pagado",IF(TODAY()&gt;G26,"Vencido","Pendiente")))</f>
        <v/>
      </c>
      <c r="I26" s="241">
        <f>IF(H26="Vencido",TODAY()-G26,0)</f>
        <v/>
      </c>
      <c r="J26" s="232" t="n"/>
      <c r="K26" s="243">
        <f>IF(H26="Vencido","Pago urgente",IF(H26="Pendiente","Programar pago","OK"))</f>
        <v/>
      </c>
      <c r="L26" s="192" t="n"/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241">
        <f>Compras!A30</f>
        <v/>
      </c>
      <c r="B27" s="242">
        <f>Compras!B30</f>
        <v/>
      </c>
      <c r="C27" s="232">
        <f>Compras!C30</f>
        <v/>
      </c>
      <c r="D27" s="238">
        <f>Compras!H30</f>
        <v/>
      </c>
      <c r="E27" s="229" t="n">
        <v>0</v>
      </c>
      <c r="F27" s="238">
        <f>IF(A27="","",D27-E27)</f>
        <v/>
      </c>
      <c r="G27" s="242">
        <f>IF(B27="","",B27+30)</f>
        <v/>
      </c>
      <c r="H27" s="243">
        <f>IF(A27="","",IF(F27=0,"Pagado",IF(TODAY()&gt;G27,"Vencido","Pendiente")))</f>
        <v/>
      </c>
      <c r="I27" s="241">
        <f>IF(H27="Vencido",TODAY()-G27,0)</f>
        <v/>
      </c>
      <c r="J27" s="232" t="n"/>
      <c r="K27" s="243">
        <f>IF(H27="Vencido","Pago urgente",IF(H27="Pendiente","Programar pago","OK"))</f>
        <v/>
      </c>
      <c r="L27" s="192" t="n"/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241">
        <f>Compras!A31</f>
        <v/>
      </c>
      <c r="B28" s="242">
        <f>Compras!B31</f>
        <v/>
      </c>
      <c r="C28" s="232">
        <f>Compras!C31</f>
        <v/>
      </c>
      <c r="D28" s="238">
        <f>Compras!H31</f>
        <v/>
      </c>
      <c r="E28" s="229" t="n">
        <v>0</v>
      </c>
      <c r="F28" s="238">
        <f>IF(A28="","",D28-E28)</f>
        <v/>
      </c>
      <c r="G28" s="242">
        <f>IF(B28="","",B28+30)</f>
        <v/>
      </c>
      <c r="H28" s="243">
        <f>IF(A28="","",IF(F28=0,"Pagado",IF(TODAY()&gt;G28,"Vencido","Pendiente")))</f>
        <v/>
      </c>
      <c r="I28" s="241">
        <f>IF(H28="Vencido",TODAY()-G28,0)</f>
        <v/>
      </c>
      <c r="J28" s="232" t="n"/>
      <c r="K28" s="243">
        <f>IF(H28="Vencido","Pago urgente",IF(H28="Pendiente","Programar pago","OK"))</f>
        <v/>
      </c>
      <c r="L28" s="192" t="n"/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241">
        <f>Compras!A32</f>
        <v/>
      </c>
      <c r="B29" s="242">
        <f>Compras!B32</f>
        <v/>
      </c>
      <c r="C29" s="232">
        <f>Compras!C32</f>
        <v/>
      </c>
      <c r="D29" s="238">
        <f>Compras!H32</f>
        <v/>
      </c>
      <c r="E29" s="229" t="n">
        <v>0</v>
      </c>
      <c r="F29" s="238">
        <f>IF(A29="","",D29-E29)</f>
        <v/>
      </c>
      <c r="G29" s="242">
        <f>IF(B29="","",B29+30)</f>
        <v/>
      </c>
      <c r="H29" s="243">
        <f>IF(A29="","",IF(F29=0,"Pagado",IF(TODAY()&gt;G29,"Vencido","Pendiente")))</f>
        <v/>
      </c>
      <c r="I29" s="241">
        <f>IF(H29="Vencido",TODAY()-G29,0)</f>
        <v/>
      </c>
      <c r="J29" s="232" t="n"/>
      <c r="K29" s="243">
        <f>IF(H29="Vencido","Pago urgente",IF(H29="Pendiente","Programar pago","OK"))</f>
        <v/>
      </c>
      <c r="L29" s="192" t="n"/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241">
        <f>Compras!A33</f>
        <v/>
      </c>
      <c r="B30" s="242">
        <f>Compras!B33</f>
        <v/>
      </c>
      <c r="C30" s="232">
        <f>Compras!C33</f>
        <v/>
      </c>
      <c r="D30" s="238">
        <f>Compras!H33</f>
        <v/>
      </c>
      <c r="E30" s="229" t="n">
        <v>0</v>
      </c>
      <c r="F30" s="238">
        <f>IF(A30="","",D30-E30)</f>
        <v/>
      </c>
      <c r="G30" s="242">
        <f>IF(B30="","",B30+30)</f>
        <v/>
      </c>
      <c r="H30" s="243">
        <f>IF(A30="","",IF(F30=0,"Pagado",IF(TODAY()&gt;G30,"Vencido","Pendiente")))</f>
        <v/>
      </c>
      <c r="I30" s="241">
        <f>IF(H30="Vencido",TODAY()-G30,0)</f>
        <v/>
      </c>
      <c r="J30" s="232" t="n"/>
      <c r="K30" s="243">
        <f>IF(H30="Vencido","Pago urgente",IF(H30="Pendiente","Programar pago","OK"))</f>
        <v/>
      </c>
      <c r="L30" s="192" t="n"/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241">
        <f>Compras!A34</f>
        <v/>
      </c>
      <c r="B31" s="242">
        <f>Compras!B34</f>
        <v/>
      </c>
      <c r="C31" s="232">
        <f>Compras!C34</f>
        <v/>
      </c>
      <c r="D31" s="238">
        <f>Compras!H34</f>
        <v/>
      </c>
      <c r="E31" s="229" t="n">
        <v>0</v>
      </c>
      <c r="F31" s="238">
        <f>IF(A31="","",D31-E31)</f>
        <v/>
      </c>
      <c r="G31" s="242">
        <f>IF(B31="","",B31+30)</f>
        <v/>
      </c>
      <c r="H31" s="243">
        <f>IF(A31="","",IF(F31=0,"Pagado",IF(TODAY()&gt;G31,"Vencido","Pendiente")))</f>
        <v/>
      </c>
      <c r="I31" s="241">
        <f>IF(H31="Vencido",TODAY()-G31,0)</f>
        <v/>
      </c>
      <c r="J31" s="232" t="n"/>
      <c r="K31" s="243">
        <f>IF(H31="Vencido","Pago urgente",IF(H31="Pendiente","Programar pago","OK"))</f>
        <v/>
      </c>
      <c r="L31" s="192" t="n"/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241">
        <f>Compras!A35</f>
        <v/>
      </c>
      <c r="B32" s="242">
        <f>Compras!B35</f>
        <v/>
      </c>
      <c r="C32" s="232">
        <f>Compras!C35</f>
        <v/>
      </c>
      <c r="D32" s="238">
        <f>Compras!H35</f>
        <v/>
      </c>
      <c r="E32" s="229" t="n">
        <v>0</v>
      </c>
      <c r="F32" s="238">
        <f>IF(A32="","",D32-E32)</f>
        <v/>
      </c>
      <c r="G32" s="242">
        <f>IF(B32="","",B32+30)</f>
        <v/>
      </c>
      <c r="H32" s="243">
        <f>IF(A32="","",IF(F32=0,"Pagado",IF(TODAY()&gt;G32,"Vencido","Pendiente")))</f>
        <v/>
      </c>
      <c r="I32" s="241">
        <f>IF(H32="Vencido",TODAY()-G32,0)</f>
        <v/>
      </c>
      <c r="J32" s="232" t="n"/>
      <c r="K32" s="243">
        <f>IF(H32="Vencido","Pago urgente",IF(H32="Pendiente","Programar pago","OK"))</f>
        <v/>
      </c>
      <c r="L32" s="192" t="n"/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241">
        <f>Compras!A36</f>
        <v/>
      </c>
      <c r="B33" s="242">
        <f>Compras!B36</f>
        <v/>
      </c>
      <c r="C33" s="232">
        <f>Compras!C36</f>
        <v/>
      </c>
      <c r="D33" s="238">
        <f>Compras!H36</f>
        <v/>
      </c>
      <c r="E33" s="229" t="n">
        <v>0</v>
      </c>
      <c r="F33" s="238">
        <f>IF(A33="","",D33-E33)</f>
        <v/>
      </c>
      <c r="G33" s="242">
        <f>IF(B33="","",B33+30)</f>
        <v/>
      </c>
      <c r="H33" s="243">
        <f>IF(A33="","",IF(F33=0,"Pagado",IF(TODAY()&gt;G33,"Vencido","Pendiente")))</f>
        <v/>
      </c>
      <c r="I33" s="241">
        <f>IF(H33="Vencido",TODAY()-G33,0)</f>
        <v/>
      </c>
      <c r="J33" s="232" t="n"/>
      <c r="K33" s="243">
        <f>IF(H33="Vencido","Pago urgente",IF(H33="Pendiente","Programar pago","OK"))</f>
        <v/>
      </c>
      <c r="L33" s="192" t="n"/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241">
        <f>Compras!A37</f>
        <v/>
      </c>
      <c r="B34" s="242">
        <f>Compras!B37</f>
        <v/>
      </c>
      <c r="C34" s="232">
        <f>Compras!C37</f>
        <v/>
      </c>
      <c r="D34" s="238">
        <f>Compras!H37</f>
        <v/>
      </c>
      <c r="E34" s="229" t="n">
        <v>0</v>
      </c>
      <c r="F34" s="238">
        <f>IF(A34="","",D34-E34)</f>
        <v/>
      </c>
      <c r="G34" s="242">
        <f>IF(B34="","",B34+30)</f>
        <v/>
      </c>
      <c r="H34" s="243">
        <f>IF(A34="","",IF(F34=0,"Pagado",IF(TODAY()&gt;G34,"Vencido","Pendiente")))</f>
        <v/>
      </c>
      <c r="I34" s="241">
        <f>IF(H34="Vencido",TODAY()-G34,0)</f>
        <v/>
      </c>
      <c r="J34" s="232" t="n"/>
      <c r="K34" s="243">
        <f>IF(H34="Vencido","Pago urgente",IF(H34="Pendiente","Programar pago","OK"))</f>
        <v/>
      </c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241">
        <f>Compras!A38</f>
        <v/>
      </c>
      <c r="B35" s="242">
        <f>Compras!B38</f>
        <v/>
      </c>
      <c r="C35" s="232">
        <f>Compras!C38</f>
        <v/>
      </c>
      <c r="D35" s="238">
        <f>Compras!H38</f>
        <v/>
      </c>
      <c r="E35" s="229" t="n">
        <v>0</v>
      </c>
      <c r="F35" s="238">
        <f>IF(A35="","",D35-E35)</f>
        <v/>
      </c>
      <c r="G35" s="242">
        <f>IF(B35="","",B35+30)</f>
        <v/>
      </c>
      <c r="H35" s="243">
        <f>IF(A35="","",IF(F35=0,"Pagado",IF(TODAY()&gt;G35,"Vencido","Pendiente")))</f>
        <v/>
      </c>
      <c r="I35" s="241">
        <f>IF(H35="Vencido",TODAY()-G35,0)</f>
        <v/>
      </c>
      <c r="J35" s="232" t="n"/>
      <c r="K35" s="243">
        <f>IF(H35="Vencido","Pago urgente",IF(H35="Pendiente","Programar pago","OK"))</f>
        <v/>
      </c>
      <c r="L35" s="192" t="n"/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241">
        <f>Compras!A39</f>
        <v/>
      </c>
      <c r="B36" s="242">
        <f>Compras!B39</f>
        <v/>
      </c>
      <c r="C36" s="232">
        <f>Compras!C39</f>
        <v/>
      </c>
      <c r="D36" s="238">
        <f>Compras!H39</f>
        <v/>
      </c>
      <c r="E36" s="229" t="n">
        <v>0</v>
      </c>
      <c r="F36" s="238">
        <f>IF(A36="","",D36-E36)</f>
        <v/>
      </c>
      <c r="G36" s="242">
        <f>IF(B36="","",B36+30)</f>
        <v/>
      </c>
      <c r="H36" s="243">
        <f>IF(A36="","",IF(F36=0,"Pagado",IF(TODAY()&gt;G36,"Vencido","Pendiente")))</f>
        <v/>
      </c>
      <c r="I36" s="241">
        <f>IF(H36="Vencido",TODAY()-G36,0)</f>
        <v/>
      </c>
      <c r="J36" s="232" t="n"/>
      <c r="K36" s="243">
        <f>IF(H36="Vencido","Pago urgente",IF(H36="Pendiente","Programar pago","OK"))</f>
        <v/>
      </c>
      <c r="L36" s="192" t="n"/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241">
        <f>Compras!A40</f>
        <v/>
      </c>
      <c r="B37" s="242">
        <f>Compras!B40</f>
        <v/>
      </c>
      <c r="C37" s="232">
        <f>Compras!C40</f>
        <v/>
      </c>
      <c r="D37" s="238">
        <f>Compras!H40</f>
        <v/>
      </c>
      <c r="E37" s="229" t="n">
        <v>0</v>
      </c>
      <c r="F37" s="238">
        <f>IF(A37="","",D37-E37)</f>
        <v/>
      </c>
      <c r="G37" s="242">
        <f>IF(B37="","",B37+30)</f>
        <v/>
      </c>
      <c r="H37" s="243">
        <f>IF(A37="","",IF(F37=0,"Pagado",IF(TODAY()&gt;G37,"Vencido","Pendiente")))</f>
        <v/>
      </c>
      <c r="I37" s="241">
        <f>IF(H37="Vencido",TODAY()-G37,0)</f>
        <v/>
      </c>
      <c r="J37" s="232" t="n"/>
      <c r="K37" s="243">
        <f>IF(H37="Vencido","Pago urgente",IF(H37="Pendiente","Programar pago","OK"))</f>
        <v/>
      </c>
      <c r="L37" s="192" t="n"/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241">
        <f>Compras!A41</f>
        <v/>
      </c>
      <c r="B38" s="242">
        <f>Compras!B41</f>
        <v/>
      </c>
      <c r="C38" s="232">
        <f>Compras!C41</f>
        <v/>
      </c>
      <c r="D38" s="238">
        <f>Compras!H41</f>
        <v/>
      </c>
      <c r="E38" s="229" t="n">
        <v>0</v>
      </c>
      <c r="F38" s="238">
        <f>IF(A38="","",D38-E38)</f>
        <v/>
      </c>
      <c r="G38" s="242">
        <f>IF(B38="","",B38+30)</f>
        <v/>
      </c>
      <c r="H38" s="243">
        <f>IF(A38="","",IF(F38=0,"Pagado",IF(TODAY()&gt;G38,"Vencido","Pendiente")))</f>
        <v/>
      </c>
      <c r="I38" s="241">
        <f>IF(H38="Vencido",TODAY()-G38,0)</f>
        <v/>
      </c>
      <c r="J38" s="232" t="n"/>
      <c r="K38" s="243">
        <f>IF(H38="Vencido","Pago urgente",IF(H38="Pendiente","Programar pago","OK"))</f>
        <v/>
      </c>
      <c r="L38" s="192" t="n"/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241">
        <f>Compras!A42</f>
        <v/>
      </c>
      <c r="B39" s="242">
        <f>Compras!B42</f>
        <v/>
      </c>
      <c r="C39" s="232">
        <f>Compras!C42</f>
        <v/>
      </c>
      <c r="D39" s="238">
        <f>Compras!H42</f>
        <v/>
      </c>
      <c r="E39" s="229" t="n">
        <v>0</v>
      </c>
      <c r="F39" s="238">
        <f>IF(A39="","",D39-E39)</f>
        <v/>
      </c>
      <c r="G39" s="242">
        <f>IF(B39="","",B39+30)</f>
        <v/>
      </c>
      <c r="H39" s="243">
        <f>IF(A39="","",IF(F39=0,"Pagado",IF(TODAY()&gt;G39,"Vencido","Pendiente")))</f>
        <v/>
      </c>
      <c r="I39" s="241">
        <f>IF(H39="Vencido",TODAY()-G39,0)</f>
        <v/>
      </c>
      <c r="J39" s="232" t="n"/>
      <c r="K39" s="243">
        <f>IF(H39="Vencido","Pago urgente",IF(H39="Pendiente","Programar pago","OK"))</f>
        <v/>
      </c>
      <c r="L39" s="192" t="n"/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241">
        <f>Compras!A43</f>
        <v/>
      </c>
      <c r="B40" s="242">
        <f>Compras!B43</f>
        <v/>
      </c>
      <c r="C40" s="232">
        <f>Compras!C43</f>
        <v/>
      </c>
      <c r="D40" s="238">
        <f>Compras!H43</f>
        <v/>
      </c>
      <c r="E40" s="229" t="n">
        <v>0</v>
      </c>
      <c r="F40" s="238">
        <f>IF(A40="","",D40-E40)</f>
        <v/>
      </c>
      <c r="G40" s="242">
        <f>IF(B40="","",B40+30)</f>
        <v/>
      </c>
      <c r="H40" s="243">
        <f>IF(A40="","",IF(F40=0,"Pagado",IF(TODAY()&gt;G40,"Vencido","Pendiente")))</f>
        <v/>
      </c>
      <c r="I40" s="241">
        <f>IF(H40="Vencido",TODAY()-G40,0)</f>
        <v/>
      </c>
      <c r="J40" s="232" t="n"/>
      <c r="K40" s="243">
        <f>IF(H40="Vencido","Pago urgente",IF(H40="Pendiente","Programar pago","OK"))</f>
        <v/>
      </c>
      <c r="L40" s="192" t="n"/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241">
        <f>Compras!A44</f>
        <v/>
      </c>
      <c r="B41" s="242">
        <f>Compras!B44</f>
        <v/>
      </c>
      <c r="C41" s="232">
        <f>Compras!C44</f>
        <v/>
      </c>
      <c r="D41" s="238">
        <f>Compras!H44</f>
        <v/>
      </c>
      <c r="E41" s="229" t="n">
        <v>0</v>
      </c>
      <c r="F41" s="238">
        <f>IF(A41="","",D41-E41)</f>
        <v/>
      </c>
      <c r="G41" s="242">
        <f>IF(B41="","",B41+30)</f>
        <v/>
      </c>
      <c r="H41" s="243">
        <f>IF(A41="","",IF(F41=0,"Pagado",IF(TODAY()&gt;G41,"Vencido","Pendiente")))</f>
        <v/>
      </c>
      <c r="I41" s="241">
        <f>IF(H41="Vencido",TODAY()-G41,0)</f>
        <v/>
      </c>
      <c r="J41" s="232" t="n"/>
      <c r="K41" s="243">
        <f>IF(H41="Vencido","Pago urgente",IF(H41="Pendiente","Programar pago","OK"))</f>
        <v/>
      </c>
      <c r="L41" s="192" t="n"/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241">
        <f>Compras!A45</f>
        <v/>
      </c>
      <c r="B42" s="242">
        <f>Compras!B45</f>
        <v/>
      </c>
      <c r="C42" s="232">
        <f>Compras!C45</f>
        <v/>
      </c>
      <c r="D42" s="238">
        <f>Compras!H45</f>
        <v/>
      </c>
      <c r="E42" s="229" t="n">
        <v>0</v>
      </c>
      <c r="F42" s="238">
        <f>IF(A42="","",D42-E42)</f>
        <v/>
      </c>
      <c r="G42" s="242">
        <f>IF(B42="","",B42+30)</f>
        <v/>
      </c>
      <c r="H42" s="243">
        <f>IF(A42="","",IF(F42=0,"Pagado",IF(TODAY()&gt;G42,"Vencido","Pendiente")))</f>
        <v/>
      </c>
      <c r="I42" s="241">
        <f>IF(H42="Vencido",TODAY()-G42,0)</f>
        <v/>
      </c>
      <c r="J42" s="232" t="n"/>
      <c r="K42" s="243">
        <f>IF(H42="Vencido","Pago urgente",IF(H42="Pendiente","Programar pago","OK"))</f>
        <v/>
      </c>
      <c r="L42" s="192" t="n"/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241">
        <f>Compras!A46</f>
        <v/>
      </c>
      <c r="B43" s="242">
        <f>Compras!B46</f>
        <v/>
      </c>
      <c r="C43" s="232">
        <f>Compras!C46</f>
        <v/>
      </c>
      <c r="D43" s="238">
        <f>Compras!H46</f>
        <v/>
      </c>
      <c r="E43" s="229" t="n">
        <v>0</v>
      </c>
      <c r="F43" s="238">
        <f>IF(A43="","",D43-E43)</f>
        <v/>
      </c>
      <c r="G43" s="242">
        <f>IF(B43="","",B43+30)</f>
        <v/>
      </c>
      <c r="H43" s="243">
        <f>IF(A43="","",IF(F43=0,"Pagado",IF(TODAY()&gt;G43,"Vencido","Pendiente")))</f>
        <v/>
      </c>
      <c r="I43" s="241">
        <f>IF(H43="Vencido",TODAY()-G43,0)</f>
        <v/>
      </c>
      <c r="J43" s="232" t="n"/>
      <c r="K43" s="243">
        <f>IF(H43="Vencido","Pago urgente",IF(H43="Pendiente","Programar pago","OK"))</f>
        <v/>
      </c>
      <c r="L43" s="192" t="n"/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241">
        <f>Compras!A47</f>
        <v/>
      </c>
      <c r="B44" s="242">
        <f>Compras!B47</f>
        <v/>
      </c>
      <c r="C44" s="232">
        <f>Compras!C47</f>
        <v/>
      </c>
      <c r="D44" s="238">
        <f>Compras!H47</f>
        <v/>
      </c>
      <c r="E44" s="229" t="n">
        <v>0</v>
      </c>
      <c r="F44" s="238">
        <f>IF(A44="","",D44-E44)</f>
        <v/>
      </c>
      <c r="G44" s="242">
        <f>IF(B44="","",B44+30)</f>
        <v/>
      </c>
      <c r="H44" s="243">
        <f>IF(A44="","",IF(F44=0,"Pagado",IF(TODAY()&gt;G44,"Vencido","Pendiente")))</f>
        <v/>
      </c>
      <c r="I44" s="241">
        <f>IF(H44="Vencido",TODAY()-G44,0)</f>
        <v/>
      </c>
      <c r="J44" s="232" t="n"/>
      <c r="K44" s="243">
        <f>IF(H44="Vencido","Pago urgente",IF(H44="Pendiente","Programar pago","OK"))</f>
        <v/>
      </c>
      <c r="L44" s="192" t="n"/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241">
        <f>Compras!A48</f>
        <v/>
      </c>
      <c r="B45" s="242">
        <f>Compras!B48</f>
        <v/>
      </c>
      <c r="C45" s="232">
        <f>Compras!C48</f>
        <v/>
      </c>
      <c r="D45" s="238">
        <f>Compras!H48</f>
        <v/>
      </c>
      <c r="E45" s="229" t="n">
        <v>0</v>
      </c>
      <c r="F45" s="238">
        <f>IF(A45="","",D45-E45)</f>
        <v/>
      </c>
      <c r="G45" s="242">
        <f>IF(B45="","",B45+30)</f>
        <v/>
      </c>
      <c r="H45" s="243">
        <f>IF(A45="","",IF(F45=0,"Pagado",IF(TODAY()&gt;G45,"Vencido","Pendiente")))</f>
        <v/>
      </c>
      <c r="I45" s="241">
        <f>IF(H45="Vencido",TODAY()-G45,0)</f>
        <v/>
      </c>
      <c r="J45" s="232" t="n"/>
      <c r="K45" s="243">
        <f>IF(H45="Vencido","Pago urgente",IF(H45="Pendiente","Programar pago","OK"))</f>
        <v/>
      </c>
      <c r="L45" s="192" t="n"/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241">
        <f>Compras!A49</f>
        <v/>
      </c>
      <c r="B46" s="242">
        <f>Compras!B49</f>
        <v/>
      </c>
      <c r="C46" s="232">
        <f>Compras!C49</f>
        <v/>
      </c>
      <c r="D46" s="238">
        <f>Compras!H49</f>
        <v/>
      </c>
      <c r="E46" s="229" t="n">
        <v>0</v>
      </c>
      <c r="F46" s="238">
        <f>IF(A46="","",D46-E46)</f>
        <v/>
      </c>
      <c r="G46" s="242">
        <f>IF(B46="","",B46+30)</f>
        <v/>
      </c>
      <c r="H46" s="243">
        <f>IF(A46="","",IF(F46=0,"Pagado",IF(TODAY()&gt;G46,"Vencido","Pendiente")))</f>
        <v/>
      </c>
      <c r="I46" s="241">
        <f>IF(H46="Vencido",TODAY()-G46,0)</f>
        <v/>
      </c>
      <c r="J46" s="232" t="n"/>
      <c r="K46" s="243">
        <f>IF(H46="Vencido","Pago urgente",IF(H46="Pendiente","Programar pago","OK"))</f>
        <v/>
      </c>
      <c r="L46" s="192" t="n"/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241">
        <f>Compras!A50</f>
        <v/>
      </c>
      <c r="B47" s="242">
        <f>Compras!B50</f>
        <v/>
      </c>
      <c r="C47" s="232">
        <f>Compras!C50</f>
        <v/>
      </c>
      <c r="D47" s="238">
        <f>Compras!H50</f>
        <v/>
      </c>
      <c r="E47" s="229" t="n">
        <v>0</v>
      </c>
      <c r="F47" s="238">
        <f>IF(A47="","",D47-E47)</f>
        <v/>
      </c>
      <c r="G47" s="242">
        <f>IF(B47="","",B47+30)</f>
        <v/>
      </c>
      <c r="H47" s="243">
        <f>IF(A47="","",IF(F47=0,"Pagado",IF(TODAY()&gt;G47,"Vencido","Pendiente")))</f>
        <v/>
      </c>
      <c r="I47" s="241">
        <f>IF(H47="Vencido",TODAY()-G47,0)</f>
        <v/>
      </c>
      <c r="J47" s="232" t="n"/>
      <c r="K47" s="243">
        <f>IF(H47="Vencido","Pago urgente",IF(H47="Pendiente","Programar pago","OK"))</f>
        <v/>
      </c>
      <c r="L47" s="192" t="n"/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241">
        <f>Compras!A51</f>
        <v/>
      </c>
      <c r="B48" s="242">
        <f>Compras!B51</f>
        <v/>
      </c>
      <c r="C48" s="232">
        <f>Compras!C51</f>
        <v/>
      </c>
      <c r="D48" s="238">
        <f>Compras!H51</f>
        <v/>
      </c>
      <c r="E48" s="229" t="n">
        <v>0</v>
      </c>
      <c r="F48" s="238">
        <f>IF(A48="","",D48-E48)</f>
        <v/>
      </c>
      <c r="G48" s="242">
        <f>IF(B48="","",B48+30)</f>
        <v/>
      </c>
      <c r="H48" s="243">
        <f>IF(A48="","",IF(F48=0,"Pagado",IF(TODAY()&gt;G48,"Vencido","Pendiente")))</f>
        <v/>
      </c>
      <c r="I48" s="241">
        <f>IF(H48="Vencido",TODAY()-G48,0)</f>
        <v/>
      </c>
      <c r="J48" s="232" t="n"/>
      <c r="K48" s="243">
        <f>IF(H48="Vencido","Pago urgente",IF(H48="Pendiente","Programar pago","OK"))</f>
        <v/>
      </c>
      <c r="L48" s="192" t="n"/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241">
        <f>Compras!A52</f>
        <v/>
      </c>
      <c r="B49" s="242">
        <f>Compras!B52</f>
        <v/>
      </c>
      <c r="C49" s="232">
        <f>Compras!C52</f>
        <v/>
      </c>
      <c r="D49" s="238">
        <f>Compras!H52</f>
        <v/>
      </c>
      <c r="E49" s="229" t="n">
        <v>0</v>
      </c>
      <c r="F49" s="238">
        <f>IF(A49="","",D49-E49)</f>
        <v/>
      </c>
      <c r="G49" s="242">
        <f>IF(B49="","",B49+30)</f>
        <v/>
      </c>
      <c r="H49" s="243">
        <f>IF(A49="","",IF(F49=0,"Pagado",IF(TODAY()&gt;G49,"Vencido","Pendiente")))</f>
        <v/>
      </c>
      <c r="I49" s="241">
        <f>IF(H49="Vencido",TODAY()-G49,0)</f>
        <v/>
      </c>
      <c r="J49" s="232" t="n"/>
      <c r="K49" s="243">
        <f>IF(H49="Vencido","Pago urgente",IF(H49="Pendiente","Programar pago","OK"))</f>
        <v/>
      </c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241">
        <f>Compras!A53</f>
        <v/>
      </c>
      <c r="B50" s="242">
        <f>Compras!B53</f>
        <v/>
      </c>
      <c r="C50" s="232">
        <f>Compras!C53</f>
        <v/>
      </c>
      <c r="D50" s="238">
        <f>Compras!H53</f>
        <v/>
      </c>
      <c r="E50" s="229" t="n">
        <v>0</v>
      </c>
      <c r="F50" s="238">
        <f>IF(A50="","",D50-E50)</f>
        <v/>
      </c>
      <c r="G50" s="242">
        <f>IF(B50="","",B50+30)</f>
        <v/>
      </c>
      <c r="H50" s="243">
        <f>IF(A50="","",IF(F50=0,"Pagado",IF(TODAY()&gt;G50,"Vencido","Pendiente")))</f>
        <v/>
      </c>
      <c r="I50" s="241">
        <f>IF(H50="Vencido",TODAY()-G50,0)</f>
        <v/>
      </c>
      <c r="J50" s="232" t="n"/>
      <c r="K50" s="243">
        <f>IF(H50="Vencido","Pago urgente",IF(H50="Pendiente","Programar pago","OK"))</f>
        <v/>
      </c>
      <c r="L50" s="192" t="n"/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241">
        <f>Compras!A54</f>
        <v/>
      </c>
      <c r="B51" s="242">
        <f>Compras!B54</f>
        <v/>
      </c>
      <c r="C51" s="232">
        <f>Compras!C54</f>
        <v/>
      </c>
      <c r="D51" s="238">
        <f>Compras!H54</f>
        <v/>
      </c>
      <c r="E51" s="229" t="n">
        <v>0</v>
      </c>
      <c r="F51" s="238">
        <f>IF(A51="","",D51-E51)</f>
        <v/>
      </c>
      <c r="G51" s="242">
        <f>IF(B51="","",B51+30)</f>
        <v/>
      </c>
      <c r="H51" s="243">
        <f>IF(A51="","",IF(F51=0,"Pagado",IF(TODAY()&gt;G51,"Vencido","Pendiente")))</f>
        <v/>
      </c>
      <c r="I51" s="241">
        <f>IF(H51="Vencido",TODAY()-G51,0)</f>
        <v/>
      </c>
      <c r="J51" s="232" t="n"/>
      <c r="K51" s="243">
        <f>IF(H51="Vencido","Pago urgente",IF(H51="Pendiente","Programar pago","OK"))</f>
        <v/>
      </c>
      <c r="L51" s="192" t="n"/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241">
        <f>Compras!A55</f>
        <v/>
      </c>
      <c r="B52" s="242">
        <f>Compras!B55</f>
        <v/>
      </c>
      <c r="C52" s="232">
        <f>Compras!C55</f>
        <v/>
      </c>
      <c r="D52" s="238">
        <f>Compras!H55</f>
        <v/>
      </c>
      <c r="E52" s="229" t="n">
        <v>0</v>
      </c>
      <c r="F52" s="238">
        <f>IF(A52="","",D52-E52)</f>
        <v/>
      </c>
      <c r="G52" s="242">
        <f>IF(B52="","",B52+30)</f>
        <v/>
      </c>
      <c r="H52" s="243">
        <f>IF(A52="","",IF(F52=0,"Pagado",IF(TODAY()&gt;G52,"Vencido","Pendiente")))</f>
        <v/>
      </c>
      <c r="I52" s="241">
        <f>IF(H52="Vencido",TODAY()-G52,0)</f>
        <v/>
      </c>
      <c r="J52" s="232" t="n"/>
      <c r="K52" s="243">
        <f>IF(H52="Vencido","Pago urgente",IF(H52="Pendiente","Programar pago","OK"))</f>
        <v/>
      </c>
      <c r="L52" s="192" t="n"/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241">
        <f>Compras!A56</f>
        <v/>
      </c>
      <c r="B53" s="242">
        <f>Compras!B56</f>
        <v/>
      </c>
      <c r="C53" s="232">
        <f>Compras!C56</f>
        <v/>
      </c>
      <c r="D53" s="238">
        <f>Compras!H56</f>
        <v/>
      </c>
      <c r="E53" s="229" t="n">
        <v>0</v>
      </c>
      <c r="F53" s="238">
        <f>IF(A53="","",D53-E53)</f>
        <v/>
      </c>
      <c r="G53" s="242">
        <f>IF(B53="","",B53+30)</f>
        <v/>
      </c>
      <c r="H53" s="243">
        <f>IF(A53="","",IF(F53=0,"Pagado",IF(TODAY()&gt;G53,"Vencido","Pendiente")))</f>
        <v/>
      </c>
      <c r="I53" s="241">
        <f>IF(H53="Vencido",TODAY()-G53,0)</f>
        <v/>
      </c>
      <c r="J53" s="232" t="n"/>
      <c r="K53" s="243">
        <f>IF(H53="Vencido","Pago urgente",IF(H53="Pendiente","Programar pago","OK"))</f>
        <v/>
      </c>
      <c r="L53" s="192" t="n"/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241">
        <f>Compras!A57</f>
        <v/>
      </c>
      <c r="B54" s="242">
        <f>Compras!B57</f>
        <v/>
      </c>
      <c r="C54" s="232">
        <f>Compras!C57</f>
        <v/>
      </c>
      <c r="D54" s="238">
        <f>Compras!H57</f>
        <v/>
      </c>
      <c r="E54" s="229" t="n">
        <v>0</v>
      </c>
      <c r="F54" s="238">
        <f>IF(A54="","",D54-E54)</f>
        <v/>
      </c>
      <c r="G54" s="242">
        <f>IF(B54="","",B54+30)</f>
        <v/>
      </c>
      <c r="H54" s="243">
        <f>IF(A54="","",IF(F54=0,"Pagado",IF(TODAY()&gt;G54,"Vencido","Pendiente")))</f>
        <v/>
      </c>
      <c r="I54" s="241">
        <f>IF(H54="Vencido",TODAY()-G54,0)</f>
        <v/>
      </c>
      <c r="J54" s="232" t="n"/>
      <c r="K54" s="243">
        <f>IF(H54="Vencido","Pago urgente",IF(H54="Pendiente","Programar pago","OK"))</f>
        <v/>
      </c>
      <c r="L54" s="192" t="n"/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241">
        <f>Compras!A58</f>
        <v/>
      </c>
      <c r="B55" s="242">
        <f>Compras!B58</f>
        <v/>
      </c>
      <c r="C55" s="232">
        <f>Compras!C58</f>
        <v/>
      </c>
      <c r="D55" s="238">
        <f>Compras!H58</f>
        <v/>
      </c>
      <c r="E55" s="229" t="n">
        <v>0</v>
      </c>
      <c r="F55" s="238">
        <f>IF(A55="","",D55-E55)</f>
        <v/>
      </c>
      <c r="G55" s="242">
        <f>IF(B55="","",B55+30)</f>
        <v/>
      </c>
      <c r="H55" s="243">
        <f>IF(A55="","",IF(F55=0,"Pagado",IF(TODAY()&gt;G55,"Vencido","Pendiente")))</f>
        <v/>
      </c>
      <c r="I55" s="241">
        <f>IF(H55="Vencido",TODAY()-G55,0)</f>
        <v/>
      </c>
      <c r="J55" s="232" t="n"/>
      <c r="K55" s="243">
        <f>IF(H55="Vencido","Pago urgente",IF(H55="Pendiente","Programar pago","OK"))</f>
        <v/>
      </c>
      <c r="L55" s="192" t="n"/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241">
        <f>Compras!A59</f>
        <v/>
      </c>
      <c r="B56" s="242">
        <f>Compras!B59</f>
        <v/>
      </c>
      <c r="C56" s="232">
        <f>Compras!C59</f>
        <v/>
      </c>
      <c r="D56" s="238">
        <f>Compras!H59</f>
        <v/>
      </c>
      <c r="E56" s="229" t="n">
        <v>0</v>
      </c>
      <c r="F56" s="238">
        <f>IF(A56="","",D56-E56)</f>
        <v/>
      </c>
      <c r="G56" s="242">
        <f>IF(B56="","",B56+30)</f>
        <v/>
      </c>
      <c r="H56" s="243">
        <f>IF(A56="","",IF(F56=0,"Pagado",IF(TODAY()&gt;G56,"Vencido","Pendiente")))</f>
        <v/>
      </c>
      <c r="I56" s="241">
        <f>IF(H56="Vencido",TODAY()-G56,0)</f>
        <v/>
      </c>
      <c r="J56" s="232" t="n"/>
      <c r="K56" s="243">
        <f>IF(H56="Vencido","Pago urgente",IF(H56="Pendiente","Programar pago","OK"))</f>
        <v/>
      </c>
      <c r="L56" s="192" t="n"/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241">
        <f>Compras!A60</f>
        <v/>
      </c>
      <c r="B57" s="242">
        <f>Compras!B60</f>
        <v/>
      </c>
      <c r="C57" s="232">
        <f>Compras!C60</f>
        <v/>
      </c>
      <c r="D57" s="238">
        <f>Compras!H60</f>
        <v/>
      </c>
      <c r="E57" s="229" t="n">
        <v>0</v>
      </c>
      <c r="F57" s="238">
        <f>IF(A57="","",D57-E57)</f>
        <v/>
      </c>
      <c r="G57" s="242">
        <f>IF(B57="","",B57+30)</f>
        <v/>
      </c>
      <c r="H57" s="243">
        <f>IF(A57="","",IF(F57=0,"Pagado",IF(TODAY()&gt;G57,"Vencido","Pendiente")))</f>
        <v/>
      </c>
      <c r="I57" s="241">
        <f>IF(H57="Vencido",TODAY()-G57,0)</f>
        <v/>
      </c>
      <c r="J57" s="232" t="n"/>
      <c r="K57" s="243">
        <f>IF(H57="Vencido","Pago urgente",IF(H57="Pendiente","Programar pago","OK"))</f>
        <v/>
      </c>
      <c r="L57" s="192" t="n"/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241">
        <f>Compras!A61</f>
        <v/>
      </c>
      <c r="B58" s="242">
        <f>Compras!B61</f>
        <v/>
      </c>
      <c r="C58" s="232">
        <f>Compras!C61</f>
        <v/>
      </c>
      <c r="D58" s="238">
        <f>Compras!H61</f>
        <v/>
      </c>
      <c r="E58" s="229" t="n">
        <v>0</v>
      </c>
      <c r="F58" s="238">
        <f>IF(A58="","",D58-E58)</f>
        <v/>
      </c>
      <c r="G58" s="242">
        <f>IF(B58="","",B58+30)</f>
        <v/>
      </c>
      <c r="H58" s="243">
        <f>IF(A58="","",IF(F58=0,"Pagado",IF(TODAY()&gt;G58,"Vencido","Pendiente")))</f>
        <v/>
      </c>
      <c r="I58" s="241">
        <f>IF(H58="Vencido",TODAY()-G58,0)</f>
        <v/>
      </c>
      <c r="J58" s="232" t="n"/>
      <c r="K58" s="243">
        <f>IF(H58="Vencido","Pago urgente",IF(H58="Pendiente","Programar pago","OK"))</f>
        <v/>
      </c>
      <c r="L58" s="192" t="n"/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241">
        <f>Compras!A62</f>
        <v/>
      </c>
      <c r="B59" s="242">
        <f>Compras!B62</f>
        <v/>
      </c>
      <c r="C59" s="232">
        <f>Compras!C62</f>
        <v/>
      </c>
      <c r="D59" s="238">
        <f>Compras!H62</f>
        <v/>
      </c>
      <c r="E59" s="229" t="n">
        <v>0</v>
      </c>
      <c r="F59" s="238">
        <f>IF(A59="","",D59-E59)</f>
        <v/>
      </c>
      <c r="G59" s="242">
        <f>IF(B59="","",B59+30)</f>
        <v/>
      </c>
      <c r="H59" s="243">
        <f>IF(A59="","",IF(F59=0,"Pagado",IF(TODAY()&gt;G59,"Vencido","Pendiente")))</f>
        <v/>
      </c>
      <c r="I59" s="241">
        <f>IF(H59="Vencido",TODAY()-G59,0)</f>
        <v/>
      </c>
      <c r="J59" s="232" t="n"/>
      <c r="K59" s="243">
        <f>IF(H59="Vencido","Pago urgente",IF(H59="Pendiente","Programar pago","OK"))</f>
        <v/>
      </c>
      <c r="L59" s="192" t="n"/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241">
        <f>Compras!A63</f>
        <v/>
      </c>
      <c r="B60" s="242">
        <f>Compras!B63</f>
        <v/>
      </c>
      <c r="C60" s="232">
        <f>Compras!C63</f>
        <v/>
      </c>
      <c r="D60" s="238">
        <f>Compras!H63</f>
        <v/>
      </c>
      <c r="E60" s="229" t="n">
        <v>0</v>
      </c>
      <c r="F60" s="238">
        <f>IF(A60="","",D60-E60)</f>
        <v/>
      </c>
      <c r="G60" s="242">
        <f>IF(B60="","",B60+30)</f>
        <v/>
      </c>
      <c r="H60" s="243">
        <f>IF(A60="","",IF(F60=0,"Pagado",IF(TODAY()&gt;G60,"Vencido","Pendiente")))</f>
        <v/>
      </c>
      <c r="I60" s="241">
        <f>IF(H60="Vencido",TODAY()-G60,0)</f>
        <v/>
      </c>
      <c r="J60" s="232" t="n"/>
      <c r="K60" s="243">
        <f>IF(H60="Vencido","Pago urgente",IF(H60="Pendiente","Programar pago","OK"))</f>
        <v/>
      </c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241">
        <f>Compras!A64</f>
        <v/>
      </c>
      <c r="B61" s="242">
        <f>Compras!B64</f>
        <v/>
      </c>
      <c r="C61" s="232">
        <f>Compras!C64</f>
        <v/>
      </c>
      <c r="D61" s="238">
        <f>Compras!H64</f>
        <v/>
      </c>
      <c r="E61" s="229" t="n">
        <v>0</v>
      </c>
      <c r="F61" s="238">
        <f>IF(A61="","",D61-E61)</f>
        <v/>
      </c>
      <c r="G61" s="242">
        <f>IF(B61="","",B61+30)</f>
        <v/>
      </c>
      <c r="H61" s="243">
        <f>IF(A61="","",IF(F61=0,"Pagado",IF(TODAY()&gt;G61,"Vencido","Pendiente")))</f>
        <v/>
      </c>
      <c r="I61" s="241">
        <f>IF(H61="Vencido",TODAY()-G61,0)</f>
        <v/>
      </c>
      <c r="J61" s="232" t="n"/>
      <c r="K61" s="243">
        <f>IF(H61="Vencido","Pago urgente",IF(H61="Pendiente","Programar pago","OK"))</f>
        <v/>
      </c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241">
        <f>Compras!A65</f>
        <v/>
      </c>
      <c r="B62" s="242">
        <f>Compras!B65</f>
        <v/>
      </c>
      <c r="C62" s="232">
        <f>Compras!C65</f>
        <v/>
      </c>
      <c r="D62" s="238">
        <f>Compras!H65</f>
        <v/>
      </c>
      <c r="E62" s="229" t="n">
        <v>0</v>
      </c>
      <c r="F62" s="238">
        <f>IF(A62="","",D62-E62)</f>
        <v/>
      </c>
      <c r="G62" s="242">
        <f>IF(B62="","",B62+30)</f>
        <v/>
      </c>
      <c r="H62" s="243">
        <f>IF(A62="","",IF(F62=0,"Pagado",IF(TODAY()&gt;G62,"Vencido","Pendiente")))</f>
        <v/>
      </c>
      <c r="I62" s="241">
        <f>IF(H62="Vencido",TODAY()-G62,0)</f>
        <v/>
      </c>
      <c r="J62" s="232" t="n"/>
      <c r="K62" s="243">
        <f>IF(H62="Vencido","Pago urgente",IF(H62="Pendiente","Programar pago","OK"))</f>
        <v/>
      </c>
      <c r="L62" s="192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241">
        <f>Compras!A66</f>
        <v/>
      </c>
      <c r="B63" s="242">
        <f>Compras!B66</f>
        <v/>
      </c>
      <c r="C63" s="232">
        <f>Compras!C66</f>
        <v/>
      </c>
      <c r="D63" s="238">
        <f>Compras!H66</f>
        <v/>
      </c>
      <c r="E63" s="229" t="n">
        <v>0</v>
      </c>
      <c r="F63" s="238">
        <f>IF(A63="","",D63-E63)</f>
        <v/>
      </c>
      <c r="G63" s="242">
        <f>IF(B63="","",B63+30)</f>
        <v/>
      </c>
      <c r="H63" s="243">
        <f>IF(A63="","",IF(F63=0,"Pagado",IF(TODAY()&gt;G63,"Vencido","Pendiente")))</f>
        <v/>
      </c>
      <c r="I63" s="241">
        <f>IF(H63="Vencido",TODAY()-G63,0)</f>
        <v/>
      </c>
      <c r="J63" s="232" t="n"/>
      <c r="K63" s="243">
        <f>IF(H63="Vencido","Pago urgente",IF(H63="Pendiente","Programar pago","OK"))</f>
        <v/>
      </c>
      <c r="L63" s="192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241">
        <f>Compras!A67</f>
        <v/>
      </c>
      <c r="B64" s="242">
        <f>Compras!B67</f>
        <v/>
      </c>
      <c r="C64" s="232">
        <f>Compras!C67</f>
        <v/>
      </c>
      <c r="D64" s="238">
        <f>Compras!H67</f>
        <v/>
      </c>
      <c r="E64" s="229" t="n">
        <v>0</v>
      </c>
      <c r="F64" s="238">
        <f>IF(A64="","",D64-E64)</f>
        <v/>
      </c>
      <c r="G64" s="242">
        <f>IF(B64="","",B64+30)</f>
        <v/>
      </c>
      <c r="H64" s="243">
        <f>IF(A64="","",IF(F64=0,"Pagado",IF(TODAY()&gt;G64,"Vencido","Pendiente")))</f>
        <v/>
      </c>
      <c r="I64" s="241">
        <f>IF(H64="Vencido",TODAY()-G64,0)</f>
        <v/>
      </c>
      <c r="J64" s="232" t="n"/>
      <c r="K64" s="243">
        <f>IF(H64="Vencido","Pago urgente",IF(H64="Pendiente","Programar pago","OK"))</f>
        <v/>
      </c>
      <c r="L64" s="192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241">
        <f>Compras!A68</f>
        <v/>
      </c>
      <c r="B65" s="242">
        <f>Compras!B68</f>
        <v/>
      </c>
      <c r="C65" s="232">
        <f>Compras!C68</f>
        <v/>
      </c>
      <c r="D65" s="238">
        <f>Compras!H68</f>
        <v/>
      </c>
      <c r="E65" s="229" t="n">
        <v>0</v>
      </c>
      <c r="F65" s="238">
        <f>IF(A65="","",D65-E65)</f>
        <v/>
      </c>
      <c r="G65" s="242">
        <f>IF(B65="","",B65+30)</f>
        <v/>
      </c>
      <c r="H65" s="243">
        <f>IF(A65="","",IF(F65=0,"Pagado",IF(TODAY()&gt;G65,"Vencido","Pendiente")))</f>
        <v/>
      </c>
      <c r="I65" s="241">
        <f>IF(H65="Vencido",TODAY()-G65,0)</f>
        <v/>
      </c>
      <c r="J65" s="232" t="n"/>
      <c r="K65" s="243">
        <f>IF(H65="Vencido","Pago urgente",IF(H65="Pendiente","Programar pago","OK"))</f>
        <v/>
      </c>
      <c r="L65" s="192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241">
        <f>Compras!A69</f>
        <v/>
      </c>
      <c r="B66" s="242">
        <f>Compras!B69</f>
        <v/>
      </c>
      <c r="C66" s="232">
        <f>Compras!C69</f>
        <v/>
      </c>
      <c r="D66" s="238">
        <f>Compras!H69</f>
        <v/>
      </c>
      <c r="E66" s="229" t="n">
        <v>0</v>
      </c>
      <c r="F66" s="238">
        <f>IF(A66="","",D66-E66)</f>
        <v/>
      </c>
      <c r="G66" s="242">
        <f>IF(B66="","",B66+30)</f>
        <v/>
      </c>
      <c r="H66" s="243">
        <f>IF(A66="","",IF(F66=0,"Pagado",IF(TODAY()&gt;G66,"Vencido","Pendiente")))</f>
        <v/>
      </c>
      <c r="I66" s="241">
        <f>IF(H66="Vencido",TODAY()-G66,0)</f>
        <v/>
      </c>
      <c r="J66" s="232" t="n"/>
      <c r="K66" s="243">
        <f>IF(H66="Vencido","Pago urgente",IF(H66="Pendiente","Programar pago","OK"))</f>
        <v/>
      </c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241">
        <f>Compras!A70</f>
        <v/>
      </c>
      <c r="B67" s="242">
        <f>Compras!B70</f>
        <v/>
      </c>
      <c r="C67" s="232">
        <f>Compras!C70</f>
        <v/>
      </c>
      <c r="D67" s="238">
        <f>Compras!H70</f>
        <v/>
      </c>
      <c r="E67" s="229" t="n">
        <v>0</v>
      </c>
      <c r="F67" s="238">
        <f>IF(A67="","",D67-E67)</f>
        <v/>
      </c>
      <c r="G67" s="242">
        <f>IF(B67="","",B67+30)</f>
        <v/>
      </c>
      <c r="H67" s="243">
        <f>IF(A67="","",IF(F67=0,"Pagado",IF(TODAY()&gt;G67,"Vencido","Pendiente")))</f>
        <v/>
      </c>
      <c r="I67" s="241">
        <f>IF(H67="Vencido",TODAY()-G67,0)</f>
        <v/>
      </c>
      <c r="J67" s="232" t="n"/>
      <c r="K67" s="243">
        <f>IF(H67="Vencido","Pago urgente",IF(H67="Pendiente","Programar pago","OK"))</f>
        <v/>
      </c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241">
        <f>Compras!A71</f>
        <v/>
      </c>
      <c r="B68" s="242">
        <f>Compras!B71</f>
        <v/>
      </c>
      <c r="C68" s="232">
        <f>Compras!C71</f>
        <v/>
      </c>
      <c r="D68" s="238">
        <f>Compras!H71</f>
        <v/>
      </c>
      <c r="E68" s="229" t="n">
        <v>0</v>
      </c>
      <c r="F68" s="238">
        <f>IF(A68="","",D68-E68)</f>
        <v/>
      </c>
      <c r="G68" s="242">
        <f>IF(B68="","",B68+30)</f>
        <v/>
      </c>
      <c r="H68" s="243">
        <f>IF(A68="","",IF(F68=0,"Pagado",IF(TODAY()&gt;G68,"Vencido","Pendiente")))</f>
        <v/>
      </c>
      <c r="I68" s="241">
        <f>IF(H68="Vencido",TODAY()-G68,0)</f>
        <v/>
      </c>
      <c r="J68" s="232" t="n"/>
      <c r="K68" s="243">
        <f>IF(H68="Vencido","Pago urgente",IF(H68="Pendiente","Programar pago","OK"))</f>
        <v/>
      </c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241">
        <f>Compras!A72</f>
        <v/>
      </c>
      <c r="B69" s="242">
        <f>Compras!B72</f>
        <v/>
      </c>
      <c r="C69" s="232">
        <f>Compras!C72</f>
        <v/>
      </c>
      <c r="D69" s="238">
        <f>Compras!H72</f>
        <v/>
      </c>
      <c r="E69" s="229" t="n">
        <v>0</v>
      </c>
      <c r="F69" s="238">
        <f>IF(A69="","",D69-E69)</f>
        <v/>
      </c>
      <c r="G69" s="242">
        <f>IF(B69="","",B69+30)</f>
        <v/>
      </c>
      <c r="H69" s="243">
        <f>IF(A69="","",IF(F69=0,"Pagado",IF(TODAY()&gt;G69,"Vencido","Pendiente")))</f>
        <v/>
      </c>
      <c r="I69" s="241">
        <f>IF(H69="Vencido",TODAY()-G69,0)</f>
        <v/>
      </c>
      <c r="J69" s="232" t="n"/>
      <c r="K69" s="243">
        <f>IF(H69="Vencido","Pago urgente",IF(H69="Pendiente","Programar pago","OK"))</f>
        <v/>
      </c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241">
        <f>Compras!A73</f>
        <v/>
      </c>
      <c r="B70" s="242">
        <f>Compras!B73</f>
        <v/>
      </c>
      <c r="C70" s="232">
        <f>Compras!C73</f>
        <v/>
      </c>
      <c r="D70" s="238">
        <f>Compras!H73</f>
        <v/>
      </c>
      <c r="E70" s="229" t="n">
        <v>0</v>
      </c>
      <c r="F70" s="238">
        <f>IF(A70="","",D70-E70)</f>
        <v/>
      </c>
      <c r="G70" s="242">
        <f>IF(B70="","",B70+30)</f>
        <v/>
      </c>
      <c r="H70" s="243">
        <f>IF(A70="","",IF(F70=0,"Pagado",IF(TODAY()&gt;G70,"Vencido","Pendiente")))</f>
        <v/>
      </c>
      <c r="I70" s="241">
        <f>IF(H70="Vencido",TODAY()-G70,0)</f>
        <v/>
      </c>
      <c r="J70" s="232" t="n"/>
      <c r="K70" s="243">
        <f>IF(H70="Vencido","Pago urgente",IF(H70="Pendiente","Programar pago","OK"))</f>
        <v/>
      </c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241">
        <f>Compras!A74</f>
        <v/>
      </c>
      <c r="B71" s="242">
        <f>Compras!B74</f>
        <v/>
      </c>
      <c r="C71" s="232">
        <f>Compras!C74</f>
        <v/>
      </c>
      <c r="D71" s="238">
        <f>Compras!H74</f>
        <v/>
      </c>
      <c r="E71" s="229" t="n">
        <v>0</v>
      </c>
      <c r="F71" s="238">
        <f>IF(A71="","",D71-E71)</f>
        <v/>
      </c>
      <c r="G71" s="242">
        <f>IF(B71="","",B71+30)</f>
        <v/>
      </c>
      <c r="H71" s="243">
        <f>IF(A71="","",IF(F71=0,"Pagado",IF(TODAY()&gt;G71,"Vencido","Pendiente")))</f>
        <v/>
      </c>
      <c r="I71" s="241">
        <f>IF(H71="Vencido",TODAY()-G71,0)</f>
        <v/>
      </c>
      <c r="J71" s="232" t="n"/>
      <c r="K71" s="243">
        <f>IF(H71="Vencido","Pago urgente",IF(H71="Pendiente","Programar pago","OK"))</f>
        <v/>
      </c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241">
        <f>Compras!A75</f>
        <v/>
      </c>
      <c r="B72" s="242">
        <f>Compras!B75</f>
        <v/>
      </c>
      <c r="C72" s="232">
        <f>Compras!C75</f>
        <v/>
      </c>
      <c r="D72" s="238">
        <f>Compras!H75</f>
        <v/>
      </c>
      <c r="E72" s="229" t="n">
        <v>0</v>
      </c>
      <c r="F72" s="238">
        <f>IF(A72="","",D72-E72)</f>
        <v/>
      </c>
      <c r="G72" s="242">
        <f>IF(B72="","",B72+30)</f>
        <v/>
      </c>
      <c r="H72" s="243">
        <f>IF(A72="","",IF(F72=0,"Pagado",IF(TODAY()&gt;G72,"Vencido","Pendiente")))</f>
        <v/>
      </c>
      <c r="I72" s="241">
        <f>IF(H72="Vencido",TODAY()-G72,0)</f>
        <v/>
      </c>
      <c r="J72" s="232" t="n"/>
      <c r="K72" s="243">
        <f>IF(H72="Vencido","Pago urgente",IF(H72="Pendiente","Programar pago","OK"))</f>
        <v/>
      </c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241">
        <f>Compras!A76</f>
        <v/>
      </c>
      <c r="B73" s="242">
        <f>Compras!B76</f>
        <v/>
      </c>
      <c r="C73" s="232">
        <f>Compras!C76</f>
        <v/>
      </c>
      <c r="D73" s="238">
        <f>Compras!H76</f>
        <v/>
      </c>
      <c r="E73" s="229" t="n">
        <v>0</v>
      </c>
      <c r="F73" s="238">
        <f>IF(A73="","",D73-E73)</f>
        <v/>
      </c>
      <c r="G73" s="242">
        <f>IF(B73="","",B73+30)</f>
        <v/>
      </c>
      <c r="H73" s="243">
        <f>IF(A73="","",IF(F73=0,"Pagado",IF(TODAY()&gt;G73,"Vencido","Pendiente")))</f>
        <v/>
      </c>
      <c r="I73" s="241">
        <f>IF(H73="Vencido",TODAY()-G73,0)</f>
        <v/>
      </c>
      <c r="J73" s="232" t="n"/>
      <c r="K73" s="243">
        <f>IF(H73="Vencido","Pago urgente",IF(H73="Pendiente","Programar pago","OK"))</f>
        <v/>
      </c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241">
        <f>Compras!A77</f>
        <v/>
      </c>
      <c r="B74" s="242">
        <f>Compras!B77</f>
        <v/>
      </c>
      <c r="C74" s="232">
        <f>Compras!C77</f>
        <v/>
      </c>
      <c r="D74" s="238">
        <f>Compras!H77</f>
        <v/>
      </c>
      <c r="E74" s="229" t="n">
        <v>0</v>
      </c>
      <c r="F74" s="238">
        <f>IF(A74="","",D74-E74)</f>
        <v/>
      </c>
      <c r="G74" s="242">
        <f>IF(B74="","",B74+30)</f>
        <v/>
      </c>
      <c r="H74" s="243">
        <f>IF(A74="","",IF(F74=0,"Pagado",IF(TODAY()&gt;G74,"Vencido","Pendiente")))</f>
        <v/>
      </c>
      <c r="I74" s="241">
        <f>IF(H74="Vencido",TODAY()-G74,0)</f>
        <v/>
      </c>
      <c r="J74" s="232" t="n"/>
      <c r="K74" s="243">
        <f>IF(H74="Vencido","Pago urgente",IF(H74="Pendiente","Programar pago","OK"))</f>
        <v/>
      </c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241">
        <f>Compras!A78</f>
        <v/>
      </c>
      <c r="B75" s="242">
        <f>Compras!B78</f>
        <v/>
      </c>
      <c r="C75" s="232">
        <f>Compras!C78</f>
        <v/>
      </c>
      <c r="D75" s="238">
        <f>Compras!H78</f>
        <v/>
      </c>
      <c r="E75" s="229" t="n">
        <v>0</v>
      </c>
      <c r="F75" s="238">
        <f>IF(A75="","",D75-E75)</f>
        <v/>
      </c>
      <c r="G75" s="242">
        <f>IF(B75="","",B75+30)</f>
        <v/>
      </c>
      <c r="H75" s="243">
        <f>IF(A75="","",IF(F75=0,"Pagado",IF(TODAY()&gt;G75,"Vencido","Pendiente")))</f>
        <v/>
      </c>
      <c r="I75" s="241">
        <f>IF(H75="Vencido",TODAY()-G75,0)</f>
        <v/>
      </c>
      <c r="J75" s="232" t="n"/>
      <c r="K75" s="243">
        <f>IF(H75="Vencido","Pago urgente",IF(H75="Pendiente","Programar pago","OK"))</f>
        <v/>
      </c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241">
        <f>Compras!A79</f>
        <v/>
      </c>
      <c r="B76" s="242">
        <f>Compras!B79</f>
        <v/>
      </c>
      <c r="C76" s="232">
        <f>Compras!C79</f>
        <v/>
      </c>
      <c r="D76" s="238">
        <f>Compras!H79</f>
        <v/>
      </c>
      <c r="E76" s="229" t="n">
        <v>0</v>
      </c>
      <c r="F76" s="238">
        <f>IF(A76="","",D76-E76)</f>
        <v/>
      </c>
      <c r="G76" s="242">
        <f>IF(B76="","",B76+30)</f>
        <v/>
      </c>
      <c r="H76" s="243">
        <f>IF(A76="","",IF(F76=0,"Pagado",IF(TODAY()&gt;G76,"Vencido","Pendiente")))</f>
        <v/>
      </c>
      <c r="I76" s="241">
        <f>IF(H76="Vencido",TODAY()-G76,0)</f>
        <v/>
      </c>
      <c r="J76" s="232" t="n"/>
      <c r="K76" s="243">
        <f>IF(H76="Vencido","Pago urgente",IF(H76="Pendiente","Programar pago","OK"))</f>
        <v/>
      </c>
      <c r="L76" s="192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241">
        <f>Compras!A80</f>
        <v/>
      </c>
      <c r="B77" s="242">
        <f>Compras!B80</f>
        <v/>
      </c>
      <c r="C77" s="232">
        <f>Compras!C80</f>
        <v/>
      </c>
      <c r="D77" s="238">
        <f>Compras!H80</f>
        <v/>
      </c>
      <c r="E77" s="229" t="n">
        <v>0</v>
      </c>
      <c r="F77" s="238">
        <f>IF(A77="","",D77-E77)</f>
        <v/>
      </c>
      <c r="G77" s="242">
        <f>IF(B77="","",B77+30)</f>
        <v/>
      </c>
      <c r="H77" s="243">
        <f>IF(A77="","",IF(F77=0,"Pagado",IF(TODAY()&gt;G77,"Vencido","Pendiente")))</f>
        <v/>
      </c>
      <c r="I77" s="241">
        <f>IF(H77="Vencido",TODAY()-G77,0)</f>
        <v/>
      </c>
      <c r="J77" s="232" t="n"/>
      <c r="K77" s="243">
        <f>IF(H77="Vencido","Pago urgente",IF(H77="Pendiente","Programar pago","OK"))</f>
        <v/>
      </c>
      <c r="L77" s="192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241">
        <f>Compras!A81</f>
        <v/>
      </c>
      <c r="B78" s="242">
        <f>Compras!B81</f>
        <v/>
      </c>
      <c r="C78" s="232">
        <f>Compras!C81</f>
        <v/>
      </c>
      <c r="D78" s="238">
        <f>Compras!H81</f>
        <v/>
      </c>
      <c r="E78" s="229" t="n">
        <v>0</v>
      </c>
      <c r="F78" s="238">
        <f>IF(A78="","",D78-E78)</f>
        <v/>
      </c>
      <c r="G78" s="242">
        <f>IF(B78="","",B78+30)</f>
        <v/>
      </c>
      <c r="H78" s="243">
        <f>IF(A78="","",IF(F78=0,"Pagado",IF(TODAY()&gt;G78,"Vencido","Pendiente")))</f>
        <v/>
      </c>
      <c r="I78" s="241">
        <f>IF(H78="Vencido",TODAY()-G78,0)</f>
        <v/>
      </c>
      <c r="J78" s="232" t="n"/>
      <c r="K78" s="243">
        <f>IF(H78="Vencido","Pago urgente",IF(H78="Pendiente","Programar pago","OK"))</f>
        <v/>
      </c>
      <c r="L78" s="192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241">
        <f>Compras!A82</f>
        <v/>
      </c>
      <c r="B79" s="242">
        <f>Compras!B82</f>
        <v/>
      </c>
      <c r="C79" s="232">
        <f>Compras!C82</f>
        <v/>
      </c>
      <c r="D79" s="238">
        <f>Compras!H82</f>
        <v/>
      </c>
      <c r="E79" s="229" t="n">
        <v>0</v>
      </c>
      <c r="F79" s="238">
        <f>IF(A79="","",D79-E79)</f>
        <v/>
      </c>
      <c r="G79" s="242">
        <f>IF(B79="","",B79+30)</f>
        <v/>
      </c>
      <c r="H79" s="243">
        <f>IF(A79="","",IF(F79=0,"Pagado",IF(TODAY()&gt;G79,"Vencido","Pendiente")))</f>
        <v/>
      </c>
      <c r="I79" s="241">
        <f>IF(H79="Vencido",TODAY()-G79,0)</f>
        <v/>
      </c>
      <c r="J79" s="232" t="n"/>
      <c r="K79" s="243">
        <f>IF(H79="Vencido","Pago urgente",IF(H79="Pendiente","Programar pago","OK"))</f>
        <v/>
      </c>
      <c r="L79" s="192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241">
        <f>Compras!A83</f>
        <v/>
      </c>
      <c r="B80" s="242">
        <f>Compras!B83</f>
        <v/>
      </c>
      <c r="C80" s="232">
        <f>Compras!C83</f>
        <v/>
      </c>
      <c r="D80" s="238">
        <f>Compras!H83</f>
        <v/>
      </c>
      <c r="E80" s="229" t="n">
        <v>0</v>
      </c>
      <c r="F80" s="238">
        <f>IF(A80="","",D80-E80)</f>
        <v/>
      </c>
      <c r="G80" s="242">
        <f>IF(B80="","",B80+30)</f>
        <v/>
      </c>
      <c r="H80" s="243">
        <f>IF(A80="","",IF(F80=0,"Pagado",IF(TODAY()&gt;G80,"Vencido","Pendiente")))</f>
        <v/>
      </c>
      <c r="I80" s="241">
        <f>IF(H80="Vencido",TODAY()-G80,0)</f>
        <v/>
      </c>
      <c r="J80" s="232" t="n"/>
      <c r="K80" s="243">
        <f>IF(H80="Vencido","Pago urgente",IF(H80="Pendiente","Programar pago","OK"))</f>
        <v/>
      </c>
      <c r="L80" s="192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241">
        <f>Compras!A84</f>
        <v/>
      </c>
      <c r="B81" s="242">
        <f>Compras!B84</f>
        <v/>
      </c>
      <c r="C81" s="232">
        <f>Compras!C84</f>
        <v/>
      </c>
      <c r="D81" s="238">
        <f>Compras!H84</f>
        <v/>
      </c>
      <c r="E81" s="229" t="n">
        <v>0</v>
      </c>
      <c r="F81" s="238">
        <f>IF(A81="","",D81-E81)</f>
        <v/>
      </c>
      <c r="G81" s="242">
        <f>IF(B81="","",B81+30)</f>
        <v/>
      </c>
      <c r="H81" s="243">
        <f>IF(A81="","",IF(F81=0,"Pagado",IF(TODAY()&gt;G81,"Vencido","Pendiente")))</f>
        <v/>
      </c>
      <c r="I81" s="241">
        <f>IF(H81="Vencido",TODAY()-G81,0)</f>
        <v/>
      </c>
      <c r="J81" s="232" t="n"/>
      <c r="K81" s="243">
        <f>IF(H81="Vencido","Pago urgente",IF(H81="Pendiente","Programar pago","OK"))</f>
        <v/>
      </c>
      <c r="L81" s="192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241">
        <f>Compras!A85</f>
        <v/>
      </c>
      <c r="B82" s="242">
        <f>Compras!B85</f>
        <v/>
      </c>
      <c r="C82" s="232">
        <f>Compras!C85</f>
        <v/>
      </c>
      <c r="D82" s="238">
        <f>Compras!H85</f>
        <v/>
      </c>
      <c r="E82" s="229" t="n">
        <v>0</v>
      </c>
      <c r="F82" s="238">
        <f>IF(A82="","",D82-E82)</f>
        <v/>
      </c>
      <c r="G82" s="242">
        <f>IF(B82="","",B82+30)</f>
        <v/>
      </c>
      <c r="H82" s="243">
        <f>IF(A82="","",IF(F82=0,"Pagado",IF(TODAY()&gt;G82,"Vencido","Pendiente")))</f>
        <v/>
      </c>
      <c r="I82" s="241">
        <f>IF(H82="Vencido",TODAY()-G82,0)</f>
        <v/>
      </c>
      <c r="J82" s="232" t="n"/>
      <c r="K82" s="243">
        <f>IF(H82="Vencido","Pago urgente",IF(H82="Pendiente","Programar pago","OK"))</f>
        <v/>
      </c>
      <c r="L82" s="192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241">
        <f>Compras!A86</f>
        <v/>
      </c>
      <c r="B83" s="242">
        <f>Compras!B86</f>
        <v/>
      </c>
      <c r="C83" s="232">
        <f>Compras!C86</f>
        <v/>
      </c>
      <c r="D83" s="238">
        <f>Compras!H86</f>
        <v/>
      </c>
      <c r="E83" s="229" t="n">
        <v>0</v>
      </c>
      <c r="F83" s="238">
        <f>IF(A83="","",D83-E83)</f>
        <v/>
      </c>
      <c r="G83" s="242">
        <f>IF(B83="","",B83+30)</f>
        <v/>
      </c>
      <c r="H83" s="243">
        <f>IF(A83="","",IF(F83=0,"Pagado",IF(TODAY()&gt;G83,"Vencido","Pendiente")))</f>
        <v/>
      </c>
      <c r="I83" s="241">
        <f>IF(H83="Vencido",TODAY()-G83,0)</f>
        <v/>
      </c>
      <c r="J83" s="232" t="n"/>
      <c r="K83" s="243">
        <f>IF(H83="Vencido","Pago urgente",IF(H83="Pendiente","Programar pago","OK"))</f>
        <v/>
      </c>
      <c r="L83" s="192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241">
        <f>Compras!A87</f>
        <v/>
      </c>
      <c r="B84" s="242">
        <f>Compras!B87</f>
        <v/>
      </c>
      <c r="C84" s="232">
        <f>Compras!C87</f>
        <v/>
      </c>
      <c r="D84" s="238">
        <f>Compras!H87</f>
        <v/>
      </c>
      <c r="E84" s="229" t="n">
        <v>0</v>
      </c>
      <c r="F84" s="238">
        <f>IF(A84="","",D84-E84)</f>
        <v/>
      </c>
      <c r="G84" s="242">
        <f>IF(B84="","",B84+30)</f>
        <v/>
      </c>
      <c r="H84" s="243">
        <f>IF(A84="","",IF(F84=0,"Pagado",IF(TODAY()&gt;G84,"Vencido","Pendiente")))</f>
        <v/>
      </c>
      <c r="I84" s="241">
        <f>IF(H84="Vencido",TODAY()-G84,0)</f>
        <v/>
      </c>
      <c r="J84" s="232" t="n"/>
      <c r="K84" s="243">
        <f>IF(H84="Vencido","Pago urgente",IF(H84="Pendiente","Programar pago","OK"))</f>
        <v/>
      </c>
      <c r="L84" s="192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241">
        <f>Compras!A88</f>
        <v/>
      </c>
      <c r="B85" s="242">
        <f>Compras!B88</f>
        <v/>
      </c>
      <c r="C85" s="232">
        <f>Compras!C88</f>
        <v/>
      </c>
      <c r="D85" s="238">
        <f>Compras!H88</f>
        <v/>
      </c>
      <c r="E85" s="229" t="n">
        <v>0</v>
      </c>
      <c r="F85" s="238">
        <f>IF(A85="","",D85-E85)</f>
        <v/>
      </c>
      <c r="G85" s="242">
        <f>IF(B85="","",B85+30)</f>
        <v/>
      </c>
      <c r="H85" s="243">
        <f>IF(A85="","",IF(F85=0,"Pagado",IF(TODAY()&gt;G85,"Vencido","Pendiente")))</f>
        <v/>
      </c>
      <c r="I85" s="241">
        <f>IF(H85="Vencido",TODAY()-G85,0)</f>
        <v/>
      </c>
      <c r="J85" s="232" t="n"/>
      <c r="K85" s="243">
        <f>IF(H85="Vencido","Pago urgente",IF(H85="Pendiente","Programar pago","OK"))</f>
        <v/>
      </c>
      <c r="L85" s="192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241">
        <f>Compras!A89</f>
        <v/>
      </c>
      <c r="B86" s="242">
        <f>Compras!B89</f>
        <v/>
      </c>
      <c r="C86" s="232">
        <f>Compras!C89</f>
        <v/>
      </c>
      <c r="D86" s="238">
        <f>Compras!H89</f>
        <v/>
      </c>
      <c r="E86" s="229" t="n">
        <v>0</v>
      </c>
      <c r="F86" s="238">
        <f>IF(A86="","",D86-E86)</f>
        <v/>
      </c>
      <c r="G86" s="242">
        <f>IF(B86="","",B86+30)</f>
        <v/>
      </c>
      <c r="H86" s="243">
        <f>IF(A86="","",IF(F86=0,"Pagado",IF(TODAY()&gt;G86,"Vencido","Pendiente")))</f>
        <v/>
      </c>
      <c r="I86" s="241">
        <f>IF(H86="Vencido",TODAY()-G86,0)</f>
        <v/>
      </c>
      <c r="J86" s="232" t="n"/>
      <c r="K86" s="243">
        <f>IF(H86="Vencido","Pago urgente",IF(H86="Pendiente","Programar pago","OK"))</f>
        <v/>
      </c>
      <c r="L86" s="192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241">
        <f>Compras!A90</f>
        <v/>
      </c>
      <c r="B87" s="242">
        <f>Compras!B90</f>
        <v/>
      </c>
      <c r="C87" s="232">
        <f>Compras!C90</f>
        <v/>
      </c>
      <c r="D87" s="238">
        <f>Compras!H90</f>
        <v/>
      </c>
      <c r="E87" s="229" t="n">
        <v>0</v>
      </c>
      <c r="F87" s="238">
        <f>IF(A87="","",D87-E87)</f>
        <v/>
      </c>
      <c r="G87" s="242">
        <f>IF(B87="","",B87+30)</f>
        <v/>
      </c>
      <c r="H87" s="243">
        <f>IF(A87="","",IF(F87=0,"Pagado",IF(TODAY()&gt;G87,"Vencido","Pendiente")))</f>
        <v/>
      </c>
      <c r="I87" s="241">
        <f>IF(H87="Vencido",TODAY()-G87,0)</f>
        <v/>
      </c>
      <c r="J87" s="232" t="n"/>
      <c r="K87" s="243">
        <f>IF(H87="Vencido","Pago urgente",IF(H87="Pendiente","Programar pago","OK"))</f>
        <v/>
      </c>
      <c r="L87" s="192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241">
        <f>Compras!A91</f>
        <v/>
      </c>
      <c r="B88" s="242">
        <f>Compras!B91</f>
        <v/>
      </c>
      <c r="C88" s="232">
        <f>Compras!C91</f>
        <v/>
      </c>
      <c r="D88" s="238">
        <f>Compras!H91</f>
        <v/>
      </c>
      <c r="E88" s="229" t="n">
        <v>0</v>
      </c>
      <c r="F88" s="238">
        <f>IF(A88="","",D88-E88)</f>
        <v/>
      </c>
      <c r="G88" s="242">
        <f>IF(B88="","",B88+30)</f>
        <v/>
      </c>
      <c r="H88" s="243">
        <f>IF(A88="","",IF(F88=0,"Pagado",IF(TODAY()&gt;G88,"Vencido","Pendiente")))</f>
        <v/>
      </c>
      <c r="I88" s="241">
        <f>IF(H88="Vencido",TODAY()-G88,0)</f>
        <v/>
      </c>
      <c r="J88" s="232" t="n"/>
      <c r="K88" s="243">
        <f>IF(H88="Vencido","Pago urgente",IF(H88="Pendiente","Programar pago","OK"))</f>
        <v/>
      </c>
      <c r="L88" s="192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241">
        <f>Compras!A92</f>
        <v/>
      </c>
      <c r="B89" s="242">
        <f>Compras!B92</f>
        <v/>
      </c>
      <c r="C89" s="232">
        <f>Compras!C92</f>
        <v/>
      </c>
      <c r="D89" s="238">
        <f>Compras!H92</f>
        <v/>
      </c>
      <c r="E89" s="229" t="n">
        <v>0</v>
      </c>
      <c r="F89" s="238">
        <f>IF(A89="","",D89-E89)</f>
        <v/>
      </c>
      <c r="G89" s="242">
        <f>IF(B89="","",B89+30)</f>
        <v/>
      </c>
      <c r="H89" s="243">
        <f>IF(A89="","",IF(F89=0,"Pagado",IF(TODAY()&gt;G89,"Vencido","Pendiente")))</f>
        <v/>
      </c>
      <c r="I89" s="241">
        <f>IF(H89="Vencido",TODAY()-G89,0)</f>
        <v/>
      </c>
      <c r="J89" s="232" t="n"/>
      <c r="K89" s="243">
        <f>IF(H89="Vencido","Pago urgente",IF(H89="Pendiente","Programar pago","OK"))</f>
        <v/>
      </c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conditionalFormatting sqref="H5:H104">
    <cfRule type="cellIs" priority="1" operator="equal" dxfId="4">
      <formula>"Vencido"</formula>
    </cfRule>
    <cfRule type="cellIs" priority="2" operator="equal" dxfId="2">
      <formula>"Pagado"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203A5F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1"/>
    <col width="14" customWidth="1" style="22" min="2" max="2"/>
    <col width="16" customWidth="1" style="22" min="3" max="3"/>
    <col width="18" customWidth="1" style="22" min="4" max="4"/>
    <col width="24" customWidth="1" style="22" min="5" max="5"/>
    <col width="14" customWidth="1" style="22" min="6" max="7"/>
    <col width="10" customWidth="1" style="22" min="8" max="9"/>
    <col width="16" customWidth="1" style="22" min="10" max="12"/>
  </cols>
  <sheetData>
    <row r="1" ht="6" customHeight="1" s="22">
      <c r="A1" s="132" t="inlineStr">
        <is>
          <t>Registros contables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" customHeight="1" s="22">
      <c r="A2" s="134" t="inlineStr">
        <is>
          <t>📒  REGISTROS CONTABLES</t>
        </is>
      </c>
      <c r="Q2" s="135" t="inlineStr">
        <is>
          <t>Módulo Contabilidad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201">
        <f>SUMIFS(F:F,I:I,YEAR(TODAY()))-SUMIFS(G:G,I:I,YEAR(TODAY()))</f>
        <v/>
      </c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23" t="inlineStr">
        <is>
          <t>FECHA</t>
        </is>
      </c>
      <c r="B4" s="23" t="inlineStr">
        <is>
          <t>TIPO</t>
        </is>
      </c>
      <c r="C4" s="23" t="inlineStr">
        <is>
          <t>ORIGEN</t>
        </is>
      </c>
      <c r="D4" s="23" t="inlineStr">
        <is>
          <t>CATEGORÍA</t>
        </is>
      </c>
      <c r="E4" s="23" t="inlineStr">
        <is>
          <t>DETALLE</t>
        </is>
      </c>
      <c r="F4" s="23" t="inlineStr">
        <is>
          <t>DEBE</t>
        </is>
      </c>
      <c r="G4" s="23" t="inlineStr">
        <is>
          <t>HABER</t>
        </is>
      </c>
      <c r="H4" s="23" t="inlineStr">
        <is>
          <t>MES</t>
        </is>
      </c>
      <c r="I4" s="23" t="inlineStr">
        <is>
          <t>AÑO</t>
        </is>
      </c>
      <c r="J4" s="23" t="inlineStr">
        <is>
          <t>REFERENCIA</t>
        </is>
      </c>
      <c r="K4" s="23" t="inlineStr">
        <is>
          <t>SALDO</t>
        </is>
      </c>
      <c r="L4" s="23" t="inlineStr">
        <is>
          <t>RESULTADO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>
      <c r="A5" s="5" t="n"/>
      <c r="B5" s="6" t="n"/>
      <c r="C5" s="6" t="n"/>
      <c r="D5" s="6" t="n"/>
      <c r="E5" s="6" t="n"/>
      <c r="F5" s="16" t="n"/>
      <c r="G5" s="16" t="n"/>
      <c r="H5" s="17">
        <f>IF(A5="","",MONTH(A5))</f>
        <v/>
      </c>
      <c r="I5" s="17">
        <f>IF(A5="","",YEAR(A5))</f>
        <v/>
      </c>
      <c r="J5" s="6" t="n"/>
      <c r="K5" s="16">
        <f>IF(A5="","",F5-G5)</f>
        <v/>
      </c>
      <c r="L5" s="16">
        <f>IF(A5="","",F5-G5)</f>
        <v/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5" t="n"/>
      <c r="B6" s="6" t="n"/>
      <c r="C6" s="6" t="n"/>
      <c r="D6" s="6" t="n"/>
      <c r="E6" s="6" t="n"/>
      <c r="F6" s="16" t="n"/>
      <c r="G6" s="16" t="n"/>
      <c r="H6" s="17">
        <f>IF(A6="","",MONTH(A6))</f>
        <v/>
      </c>
      <c r="I6" s="17">
        <f>IF(A6="","",YEAR(A6))</f>
        <v/>
      </c>
      <c r="J6" s="6" t="n"/>
      <c r="K6" s="16">
        <f>IF(A6="","",K5+F6-G6)</f>
        <v/>
      </c>
      <c r="L6" s="16">
        <f>IF(A6="","",F6-G6)</f>
        <v/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5" t="n"/>
      <c r="B7" s="6" t="n"/>
      <c r="C7" s="6" t="n"/>
      <c r="D7" s="6" t="n"/>
      <c r="E7" s="6" t="n"/>
      <c r="F7" s="16" t="n"/>
      <c r="G7" s="16" t="n"/>
      <c r="H7" s="17">
        <f>IF(A7="","",MONTH(A7))</f>
        <v/>
      </c>
      <c r="I7" s="17">
        <f>IF(A7="","",YEAR(A7))</f>
        <v/>
      </c>
      <c r="J7" s="6" t="n"/>
      <c r="K7" s="16">
        <f>IF(A7="","",K6+F7-G7)</f>
        <v/>
      </c>
      <c r="L7" s="16">
        <f>IF(A7="","",F7-G7)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229" t="n"/>
      <c r="B8" s="232" t="n"/>
      <c r="C8" s="232" t="n"/>
      <c r="D8" s="232" t="n"/>
      <c r="E8" s="232" t="n"/>
      <c r="F8" s="238" t="n"/>
      <c r="G8" s="238" t="n"/>
      <c r="H8" s="241">
        <f>IF(A8="","",MONTH(A8))</f>
        <v/>
      </c>
      <c r="I8" s="241">
        <f>IF(A8="","",YEAR(A8))</f>
        <v/>
      </c>
      <c r="J8" s="232" t="n"/>
      <c r="K8" s="238">
        <f>IF(A8="","",K7+F8-G8)</f>
        <v/>
      </c>
      <c r="L8" s="238">
        <f>IF(A8="","",F8-G8)</f>
        <v/>
      </c>
      <c r="M8" s="192" t="n"/>
      <c r="N8" s="192" t="n"/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229" t="n"/>
      <c r="B9" s="232" t="n"/>
      <c r="C9" s="232" t="n"/>
      <c r="D9" s="232" t="n"/>
      <c r="E9" s="232" t="n"/>
      <c r="F9" s="238" t="n"/>
      <c r="G9" s="238" t="n"/>
      <c r="H9" s="241">
        <f>IF(A9="","",MONTH(A9))</f>
        <v/>
      </c>
      <c r="I9" s="241">
        <f>IF(A9="","",YEAR(A9))</f>
        <v/>
      </c>
      <c r="J9" s="232" t="n"/>
      <c r="K9" s="238">
        <f>IF(A9="","",K8+F9-G9)</f>
        <v/>
      </c>
      <c r="L9" s="238">
        <f>IF(A9="","",F9-G9)</f>
        <v/>
      </c>
      <c r="M9" s="192" t="n"/>
      <c r="N9" s="192" t="n"/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229" t="n"/>
      <c r="B10" s="232" t="n"/>
      <c r="C10" s="232" t="n"/>
      <c r="D10" s="232" t="n"/>
      <c r="E10" s="232" t="n"/>
      <c r="F10" s="238" t="n"/>
      <c r="G10" s="238" t="n"/>
      <c r="H10" s="241">
        <f>IF(A10="","",MONTH(A10))</f>
        <v/>
      </c>
      <c r="I10" s="241">
        <f>IF(A10="","",YEAR(A10))</f>
        <v/>
      </c>
      <c r="J10" s="232" t="n"/>
      <c r="K10" s="238">
        <f>IF(A10="","",K9+F10-G10)</f>
        <v/>
      </c>
      <c r="L10" s="238">
        <f>IF(A10="","",F10-G10)</f>
        <v/>
      </c>
      <c r="M10" s="192" t="n"/>
      <c r="N10" s="192" t="n"/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229" t="n"/>
      <c r="B11" s="232" t="n"/>
      <c r="C11" s="232" t="n"/>
      <c r="D11" s="232" t="n"/>
      <c r="E11" s="232" t="n"/>
      <c r="F11" s="238" t="n"/>
      <c r="G11" s="238" t="n"/>
      <c r="H11" s="241">
        <f>IF(A11="","",MONTH(A11))</f>
        <v/>
      </c>
      <c r="I11" s="241">
        <f>IF(A11="","",YEAR(A11))</f>
        <v/>
      </c>
      <c r="J11" s="232" t="n"/>
      <c r="K11" s="238">
        <f>IF(A11="","",K10+F11-G11)</f>
        <v/>
      </c>
      <c r="L11" s="238">
        <f>IF(A11="","",F11-G11)</f>
        <v/>
      </c>
      <c r="M11" s="192" t="n"/>
      <c r="N11" s="192" t="n"/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229" t="n"/>
      <c r="B12" s="232" t="n"/>
      <c r="C12" s="232" t="n"/>
      <c r="D12" s="232" t="n"/>
      <c r="E12" s="232" t="n"/>
      <c r="F12" s="238" t="n"/>
      <c r="G12" s="238" t="n"/>
      <c r="H12" s="241">
        <f>IF(A12="","",MONTH(A12))</f>
        <v/>
      </c>
      <c r="I12" s="241">
        <f>IF(A12="","",YEAR(A12))</f>
        <v/>
      </c>
      <c r="J12" s="232" t="n"/>
      <c r="K12" s="238">
        <f>IF(A12="","",K11+F12-G12)</f>
        <v/>
      </c>
      <c r="L12" s="238">
        <f>IF(A12="","",F12-G12)</f>
        <v/>
      </c>
      <c r="M12" s="192" t="n"/>
      <c r="N12" s="192" t="n"/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229" t="n"/>
      <c r="B13" s="232" t="n"/>
      <c r="C13" s="232" t="n"/>
      <c r="D13" s="232" t="n"/>
      <c r="E13" s="232" t="n"/>
      <c r="F13" s="238" t="n"/>
      <c r="G13" s="238" t="n"/>
      <c r="H13" s="241">
        <f>IF(A13="","",MONTH(A13))</f>
        <v/>
      </c>
      <c r="I13" s="241">
        <f>IF(A13="","",YEAR(A13))</f>
        <v/>
      </c>
      <c r="J13" s="232" t="n"/>
      <c r="K13" s="238">
        <f>IF(A13="","",K12+F13-G13)</f>
        <v/>
      </c>
      <c r="L13" s="238">
        <f>IF(A13="","",F13-G13)</f>
        <v/>
      </c>
      <c r="M13" s="192" t="n"/>
      <c r="N13" s="192" t="n"/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229" t="n"/>
      <c r="B14" s="232" t="n"/>
      <c r="C14" s="232" t="n"/>
      <c r="D14" s="232" t="n"/>
      <c r="E14" s="232" t="n"/>
      <c r="F14" s="238" t="n"/>
      <c r="G14" s="238" t="n"/>
      <c r="H14" s="241">
        <f>IF(A14="","",MONTH(A14))</f>
        <v/>
      </c>
      <c r="I14" s="241">
        <f>IF(A14="","",YEAR(A14))</f>
        <v/>
      </c>
      <c r="J14" s="232" t="n"/>
      <c r="K14" s="238">
        <f>IF(A14="","",K13+F14-G14)</f>
        <v/>
      </c>
      <c r="L14" s="238">
        <f>IF(A14="","",F14-G14)</f>
        <v/>
      </c>
      <c r="M14" s="192" t="n"/>
      <c r="N14" s="192" t="n"/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229" t="n"/>
      <c r="B15" s="232" t="n"/>
      <c r="C15" s="232" t="n"/>
      <c r="D15" s="232" t="n"/>
      <c r="E15" s="232" t="n"/>
      <c r="F15" s="238" t="n"/>
      <c r="G15" s="238" t="n"/>
      <c r="H15" s="241">
        <f>IF(A15="","",MONTH(A15))</f>
        <v/>
      </c>
      <c r="I15" s="241">
        <f>IF(A15="","",YEAR(A15))</f>
        <v/>
      </c>
      <c r="J15" s="232" t="n"/>
      <c r="K15" s="238">
        <f>IF(A15="","",K14+F15-G15)</f>
        <v/>
      </c>
      <c r="L15" s="238">
        <f>IF(A15="","",F15-G15)</f>
        <v/>
      </c>
      <c r="M15" s="192" t="n"/>
      <c r="N15" s="192" t="n"/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229" t="n"/>
      <c r="B16" s="232" t="n"/>
      <c r="C16" s="232" t="n"/>
      <c r="D16" s="232" t="n"/>
      <c r="E16" s="232" t="n"/>
      <c r="F16" s="238" t="n"/>
      <c r="G16" s="238" t="n"/>
      <c r="H16" s="241">
        <f>IF(A16="","",MONTH(A16))</f>
        <v/>
      </c>
      <c r="I16" s="241">
        <f>IF(A16="","",YEAR(A16))</f>
        <v/>
      </c>
      <c r="J16" s="232" t="n"/>
      <c r="K16" s="238">
        <f>IF(A16="","",K15+F16-G16)</f>
        <v/>
      </c>
      <c r="L16" s="238">
        <f>IF(A16="","",F16-G16)</f>
        <v/>
      </c>
      <c r="M16" s="192" t="n"/>
      <c r="N16" s="192" t="n"/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229" t="n"/>
      <c r="B17" s="232" t="n"/>
      <c r="C17" s="232" t="n"/>
      <c r="D17" s="232" t="n"/>
      <c r="E17" s="232" t="n"/>
      <c r="F17" s="238" t="n"/>
      <c r="G17" s="238" t="n"/>
      <c r="H17" s="241">
        <f>IF(A17="","",MONTH(A17))</f>
        <v/>
      </c>
      <c r="I17" s="241">
        <f>IF(A17="","",YEAR(A17))</f>
        <v/>
      </c>
      <c r="J17" s="232" t="n"/>
      <c r="K17" s="238">
        <f>IF(A17="","",K16+F17-G17)</f>
        <v/>
      </c>
      <c r="L17" s="238">
        <f>IF(A17="","",F17-G17)</f>
        <v/>
      </c>
      <c r="M17" s="192" t="n"/>
      <c r="N17" s="192" t="n"/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229" t="n"/>
      <c r="B18" s="232" t="n"/>
      <c r="C18" s="232" t="n"/>
      <c r="D18" s="232" t="n"/>
      <c r="E18" s="232" t="n"/>
      <c r="F18" s="238" t="n"/>
      <c r="G18" s="238" t="n"/>
      <c r="H18" s="241">
        <f>IF(A18="","",MONTH(A18))</f>
        <v/>
      </c>
      <c r="I18" s="241">
        <f>IF(A18="","",YEAR(A18))</f>
        <v/>
      </c>
      <c r="J18" s="232" t="n"/>
      <c r="K18" s="238">
        <f>IF(A18="","",K17+F18-G18)</f>
        <v/>
      </c>
      <c r="L18" s="238">
        <f>IF(A18="","",F18-G18)</f>
        <v/>
      </c>
      <c r="M18" s="192" t="n"/>
      <c r="N18" s="192" t="n"/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229" t="n"/>
      <c r="B19" s="232" t="n"/>
      <c r="C19" s="232" t="n"/>
      <c r="D19" s="232" t="n"/>
      <c r="E19" s="232" t="n"/>
      <c r="F19" s="238" t="n"/>
      <c r="G19" s="238" t="n"/>
      <c r="H19" s="241">
        <f>IF(A19="","",MONTH(A19))</f>
        <v/>
      </c>
      <c r="I19" s="241">
        <f>IF(A19="","",YEAR(A19))</f>
        <v/>
      </c>
      <c r="J19" s="232" t="n"/>
      <c r="K19" s="238">
        <f>IF(A19="","",K18+F19-G19)</f>
        <v/>
      </c>
      <c r="L19" s="238">
        <f>IF(A19="","",F19-G19)</f>
        <v/>
      </c>
      <c r="M19" s="192" t="n"/>
      <c r="N19" s="192" t="n"/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229" t="n"/>
      <c r="B20" s="232" t="n"/>
      <c r="C20" s="232" t="n"/>
      <c r="D20" s="232" t="n"/>
      <c r="E20" s="232" t="n"/>
      <c r="F20" s="238" t="n"/>
      <c r="G20" s="238" t="n"/>
      <c r="H20" s="241">
        <f>IF(A20="","",MONTH(A20))</f>
        <v/>
      </c>
      <c r="I20" s="241">
        <f>IF(A20="","",YEAR(A20))</f>
        <v/>
      </c>
      <c r="J20" s="232" t="n"/>
      <c r="K20" s="238">
        <f>IF(A20="","",K19+F20-G20)</f>
        <v/>
      </c>
      <c r="L20" s="238">
        <f>IF(A20="","",F20-G20)</f>
        <v/>
      </c>
      <c r="M20" s="192" t="n"/>
      <c r="N20" s="192" t="n"/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229" t="n"/>
      <c r="B21" s="232" t="n"/>
      <c r="C21" s="232" t="n"/>
      <c r="D21" s="232" t="n"/>
      <c r="E21" s="232" t="n"/>
      <c r="F21" s="238" t="n"/>
      <c r="G21" s="238" t="n"/>
      <c r="H21" s="241">
        <f>IF(A21="","",MONTH(A21))</f>
        <v/>
      </c>
      <c r="I21" s="241">
        <f>IF(A21="","",YEAR(A21))</f>
        <v/>
      </c>
      <c r="J21" s="232" t="n"/>
      <c r="K21" s="238">
        <f>IF(A21="","",K20+F21-G21)</f>
        <v/>
      </c>
      <c r="L21" s="238">
        <f>IF(A21="","",F21-G21)</f>
        <v/>
      </c>
      <c r="M21" s="192" t="n"/>
      <c r="N21" s="192" t="n"/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229" t="n"/>
      <c r="B22" s="232" t="n"/>
      <c r="C22" s="232" t="n"/>
      <c r="D22" s="232" t="n"/>
      <c r="E22" s="232" t="n"/>
      <c r="F22" s="238" t="n"/>
      <c r="G22" s="238" t="n"/>
      <c r="H22" s="241">
        <f>IF(A22="","",MONTH(A22))</f>
        <v/>
      </c>
      <c r="I22" s="241">
        <f>IF(A22="","",YEAR(A22))</f>
        <v/>
      </c>
      <c r="J22" s="232" t="n"/>
      <c r="K22" s="238">
        <f>IF(A22="","",K21+F22-G22)</f>
        <v/>
      </c>
      <c r="L22" s="238">
        <f>IF(A22="","",F22-G22)</f>
        <v/>
      </c>
      <c r="M22" s="192" t="n"/>
      <c r="N22" s="192" t="n"/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229" t="n"/>
      <c r="B23" s="232" t="n"/>
      <c r="C23" s="232" t="n"/>
      <c r="D23" s="232" t="n"/>
      <c r="E23" s="232" t="n"/>
      <c r="F23" s="238" t="n"/>
      <c r="G23" s="238" t="n"/>
      <c r="H23" s="241">
        <f>IF(A23="","",MONTH(A23))</f>
        <v/>
      </c>
      <c r="I23" s="241">
        <f>IF(A23="","",YEAR(A23))</f>
        <v/>
      </c>
      <c r="J23" s="232" t="n"/>
      <c r="K23" s="238">
        <f>IF(A23="","",K22+F23-G23)</f>
        <v/>
      </c>
      <c r="L23" s="238">
        <f>IF(A23="","",F23-G23)</f>
        <v/>
      </c>
      <c r="M23" s="192" t="n"/>
      <c r="N23" s="192" t="n"/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229" t="n"/>
      <c r="B24" s="232" t="n"/>
      <c r="C24" s="232" t="n"/>
      <c r="D24" s="232" t="n"/>
      <c r="E24" s="232" t="n"/>
      <c r="F24" s="238" t="n"/>
      <c r="G24" s="238" t="n"/>
      <c r="H24" s="241">
        <f>IF(A24="","",MONTH(A24))</f>
        <v/>
      </c>
      <c r="I24" s="241">
        <f>IF(A24="","",YEAR(A24))</f>
        <v/>
      </c>
      <c r="J24" s="232" t="n"/>
      <c r="K24" s="238">
        <f>IF(A24="","",K23+F24-G24)</f>
        <v/>
      </c>
      <c r="L24" s="238">
        <f>IF(A24="","",F24-G24)</f>
        <v/>
      </c>
      <c r="M24" s="192" t="n"/>
      <c r="N24" s="192" t="n"/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229" t="n"/>
      <c r="B25" s="232" t="n"/>
      <c r="C25" s="232" t="n"/>
      <c r="D25" s="232" t="n"/>
      <c r="E25" s="232" t="n"/>
      <c r="F25" s="238" t="n"/>
      <c r="G25" s="238" t="n"/>
      <c r="H25" s="241">
        <f>IF(A25="","",MONTH(A25))</f>
        <v/>
      </c>
      <c r="I25" s="241">
        <f>IF(A25="","",YEAR(A25))</f>
        <v/>
      </c>
      <c r="J25" s="232" t="n"/>
      <c r="K25" s="238">
        <f>IF(A25="","",K24+F25-G25)</f>
        <v/>
      </c>
      <c r="L25" s="238">
        <f>IF(A25="","",F25-G25)</f>
        <v/>
      </c>
      <c r="M25" s="192" t="n"/>
      <c r="N25" s="192" t="n"/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229" t="n"/>
      <c r="B26" s="232" t="n"/>
      <c r="C26" s="232" t="n"/>
      <c r="D26" s="232" t="n"/>
      <c r="E26" s="232" t="n"/>
      <c r="F26" s="238" t="n"/>
      <c r="G26" s="238" t="n"/>
      <c r="H26" s="241">
        <f>IF(A26="","",MONTH(A26))</f>
        <v/>
      </c>
      <c r="I26" s="241">
        <f>IF(A26="","",YEAR(A26))</f>
        <v/>
      </c>
      <c r="J26" s="232" t="n"/>
      <c r="K26" s="238">
        <f>IF(A26="","",K25+F26-G26)</f>
        <v/>
      </c>
      <c r="L26" s="238">
        <f>IF(A26="","",F26-G26)</f>
        <v/>
      </c>
      <c r="M26" s="192" t="n"/>
      <c r="N26" s="192" t="n"/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229" t="n"/>
      <c r="B27" s="232" t="n"/>
      <c r="C27" s="232" t="n"/>
      <c r="D27" s="232" t="n"/>
      <c r="E27" s="232" t="n"/>
      <c r="F27" s="238" t="n"/>
      <c r="G27" s="238" t="n"/>
      <c r="H27" s="241">
        <f>IF(A27="","",MONTH(A27))</f>
        <v/>
      </c>
      <c r="I27" s="241">
        <f>IF(A27="","",YEAR(A27))</f>
        <v/>
      </c>
      <c r="J27" s="232" t="n"/>
      <c r="K27" s="238">
        <f>IF(A27="","",K26+F27-G27)</f>
        <v/>
      </c>
      <c r="L27" s="238">
        <f>IF(A27="","",F27-G27)</f>
        <v/>
      </c>
      <c r="M27" s="192" t="n"/>
      <c r="N27" s="192" t="n"/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229" t="n"/>
      <c r="B28" s="232" t="n"/>
      <c r="C28" s="232" t="n"/>
      <c r="D28" s="232" t="n"/>
      <c r="E28" s="232" t="n"/>
      <c r="F28" s="238" t="n"/>
      <c r="G28" s="238" t="n"/>
      <c r="H28" s="241">
        <f>IF(A28="","",MONTH(A28))</f>
        <v/>
      </c>
      <c r="I28" s="241">
        <f>IF(A28="","",YEAR(A28))</f>
        <v/>
      </c>
      <c r="J28" s="232" t="n"/>
      <c r="K28" s="238">
        <f>IF(A28="","",K27+F28-G28)</f>
        <v/>
      </c>
      <c r="L28" s="238">
        <f>IF(A28="","",F28-G28)</f>
        <v/>
      </c>
      <c r="M28" s="192" t="n"/>
      <c r="N28" s="192" t="n"/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229" t="n"/>
      <c r="B29" s="232" t="n"/>
      <c r="C29" s="232" t="n"/>
      <c r="D29" s="232" t="n"/>
      <c r="E29" s="232" t="n"/>
      <c r="F29" s="238" t="n"/>
      <c r="G29" s="238" t="n"/>
      <c r="H29" s="241">
        <f>IF(A29="","",MONTH(A29))</f>
        <v/>
      </c>
      <c r="I29" s="241">
        <f>IF(A29="","",YEAR(A29))</f>
        <v/>
      </c>
      <c r="J29" s="232" t="n"/>
      <c r="K29" s="238">
        <f>IF(A29="","",K28+F29-G29)</f>
        <v/>
      </c>
      <c r="L29" s="238">
        <f>IF(A29="","",F29-G29)</f>
        <v/>
      </c>
      <c r="M29" s="192" t="n"/>
      <c r="N29" s="192" t="n"/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229" t="n"/>
      <c r="B30" s="232" t="n"/>
      <c r="C30" s="232" t="n"/>
      <c r="D30" s="232" t="n"/>
      <c r="E30" s="232" t="n"/>
      <c r="F30" s="238" t="n"/>
      <c r="G30" s="238" t="n"/>
      <c r="H30" s="241">
        <f>IF(A30="","",MONTH(A30))</f>
        <v/>
      </c>
      <c r="I30" s="241">
        <f>IF(A30="","",YEAR(A30))</f>
        <v/>
      </c>
      <c r="J30" s="232" t="n"/>
      <c r="K30" s="238">
        <f>IF(A30="","",K29+F30-G30)</f>
        <v/>
      </c>
      <c r="L30" s="238">
        <f>IF(A30="","",F30-G30)</f>
        <v/>
      </c>
      <c r="M30" s="192" t="n"/>
      <c r="N30" s="192" t="n"/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229" t="n"/>
      <c r="B31" s="232" t="n"/>
      <c r="C31" s="232" t="n"/>
      <c r="D31" s="232" t="n"/>
      <c r="E31" s="232" t="n"/>
      <c r="F31" s="238" t="n"/>
      <c r="G31" s="238" t="n"/>
      <c r="H31" s="241">
        <f>IF(A31="","",MONTH(A31))</f>
        <v/>
      </c>
      <c r="I31" s="241">
        <f>IF(A31="","",YEAR(A31))</f>
        <v/>
      </c>
      <c r="J31" s="232" t="n"/>
      <c r="K31" s="238">
        <f>IF(A31="","",K30+F31-G31)</f>
        <v/>
      </c>
      <c r="L31" s="238">
        <f>IF(A31="","",F31-G31)</f>
        <v/>
      </c>
      <c r="M31" s="192" t="n"/>
      <c r="N31" s="192" t="n"/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229" t="n"/>
      <c r="B32" s="232" t="n"/>
      <c r="C32" s="232" t="n"/>
      <c r="D32" s="232" t="n"/>
      <c r="E32" s="232" t="n"/>
      <c r="F32" s="238" t="n"/>
      <c r="G32" s="238" t="n"/>
      <c r="H32" s="241">
        <f>IF(A32="","",MONTH(A32))</f>
        <v/>
      </c>
      <c r="I32" s="241">
        <f>IF(A32="","",YEAR(A32))</f>
        <v/>
      </c>
      <c r="J32" s="232" t="n"/>
      <c r="K32" s="238">
        <f>IF(A32="","",K31+F32-G32)</f>
        <v/>
      </c>
      <c r="L32" s="238">
        <f>IF(A32="","",F32-G32)</f>
        <v/>
      </c>
      <c r="M32" s="192" t="n"/>
      <c r="N32" s="192" t="n"/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229" t="n"/>
      <c r="B33" s="232" t="n"/>
      <c r="C33" s="232" t="n"/>
      <c r="D33" s="232" t="n"/>
      <c r="E33" s="232" t="n"/>
      <c r="F33" s="238" t="n"/>
      <c r="G33" s="238" t="n"/>
      <c r="H33" s="241">
        <f>IF(A33="","",MONTH(A33))</f>
        <v/>
      </c>
      <c r="I33" s="241">
        <f>IF(A33="","",YEAR(A33))</f>
        <v/>
      </c>
      <c r="J33" s="232" t="n"/>
      <c r="K33" s="238">
        <f>IF(A33="","",K32+F33-G33)</f>
        <v/>
      </c>
      <c r="L33" s="238">
        <f>IF(A33="","",F33-G33)</f>
        <v/>
      </c>
      <c r="M33" s="192" t="n"/>
      <c r="N33" s="192" t="n"/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229" t="n"/>
      <c r="B34" s="232" t="n"/>
      <c r="C34" s="232" t="n"/>
      <c r="D34" s="232" t="n"/>
      <c r="E34" s="232" t="n"/>
      <c r="F34" s="238" t="n"/>
      <c r="G34" s="238" t="n"/>
      <c r="H34" s="241">
        <f>IF(A34="","",MONTH(A34))</f>
        <v/>
      </c>
      <c r="I34" s="241">
        <f>IF(A34="","",YEAR(A34))</f>
        <v/>
      </c>
      <c r="J34" s="232" t="n"/>
      <c r="K34" s="238">
        <f>IF(A34="","",K33+F34-G34)</f>
        <v/>
      </c>
      <c r="L34" s="238">
        <f>IF(A34="","",F34-G34)</f>
        <v/>
      </c>
      <c r="M34" s="192" t="n"/>
      <c r="N34" s="192" t="n"/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229" t="n"/>
      <c r="B35" s="232" t="n"/>
      <c r="C35" s="232" t="n"/>
      <c r="D35" s="232" t="n"/>
      <c r="E35" s="232" t="n"/>
      <c r="F35" s="238" t="n"/>
      <c r="G35" s="238" t="n"/>
      <c r="H35" s="241">
        <f>IF(A35="","",MONTH(A35))</f>
        <v/>
      </c>
      <c r="I35" s="241">
        <f>IF(A35="","",YEAR(A35))</f>
        <v/>
      </c>
      <c r="J35" s="232" t="n"/>
      <c r="K35" s="238">
        <f>IF(A35="","",K34+F35-G35)</f>
        <v/>
      </c>
      <c r="L35" s="238">
        <f>IF(A35="","",F35-G35)</f>
        <v/>
      </c>
      <c r="M35" s="192" t="n"/>
      <c r="N35" s="192" t="n"/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229" t="n"/>
      <c r="B36" s="232" t="n"/>
      <c r="C36" s="232" t="n"/>
      <c r="D36" s="232" t="n"/>
      <c r="E36" s="232" t="n"/>
      <c r="F36" s="238" t="n"/>
      <c r="G36" s="238" t="n"/>
      <c r="H36" s="241">
        <f>IF(A36="","",MONTH(A36))</f>
        <v/>
      </c>
      <c r="I36" s="241">
        <f>IF(A36="","",YEAR(A36))</f>
        <v/>
      </c>
      <c r="J36" s="232" t="n"/>
      <c r="K36" s="238">
        <f>IF(A36="","",K35+F36-G36)</f>
        <v/>
      </c>
      <c r="L36" s="238">
        <f>IF(A36="","",F36-G36)</f>
        <v/>
      </c>
      <c r="M36" s="192" t="n"/>
      <c r="N36" s="192" t="n"/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229" t="n"/>
      <c r="B37" s="232" t="n"/>
      <c r="C37" s="232" t="n"/>
      <c r="D37" s="232" t="n"/>
      <c r="E37" s="232" t="n"/>
      <c r="F37" s="238" t="n"/>
      <c r="G37" s="238" t="n"/>
      <c r="H37" s="241">
        <f>IF(A37="","",MONTH(A37))</f>
        <v/>
      </c>
      <c r="I37" s="241">
        <f>IF(A37="","",YEAR(A37))</f>
        <v/>
      </c>
      <c r="J37" s="232" t="n"/>
      <c r="K37" s="238">
        <f>IF(A37="","",K36+F37-G37)</f>
        <v/>
      </c>
      <c r="L37" s="238">
        <f>IF(A37="","",F37-G37)</f>
        <v/>
      </c>
      <c r="M37" s="192" t="n"/>
      <c r="N37" s="192" t="n"/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229" t="n"/>
      <c r="B38" s="232" t="n"/>
      <c r="C38" s="232" t="n"/>
      <c r="D38" s="232" t="n"/>
      <c r="E38" s="232" t="n"/>
      <c r="F38" s="238" t="n"/>
      <c r="G38" s="238" t="n"/>
      <c r="H38" s="241">
        <f>IF(A38="","",MONTH(A38))</f>
        <v/>
      </c>
      <c r="I38" s="241">
        <f>IF(A38="","",YEAR(A38))</f>
        <v/>
      </c>
      <c r="J38" s="232" t="n"/>
      <c r="K38" s="238">
        <f>IF(A38="","",K37+F38-G38)</f>
        <v/>
      </c>
      <c r="L38" s="238">
        <f>IF(A38="","",F38-G38)</f>
        <v/>
      </c>
      <c r="M38" s="192" t="n"/>
      <c r="N38" s="192" t="n"/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229" t="n"/>
      <c r="B39" s="232" t="n"/>
      <c r="C39" s="232" t="n"/>
      <c r="D39" s="232" t="n"/>
      <c r="E39" s="232" t="n"/>
      <c r="F39" s="238" t="n"/>
      <c r="G39" s="238" t="n"/>
      <c r="H39" s="241">
        <f>IF(A39="","",MONTH(A39))</f>
        <v/>
      </c>
      <c r="I39" s="241">
        <f>IF(A39="","",YEAR(A39))</f>
        <v/>
      </c>
      <c r="J39" s="232" t="n"/>
      <c r="K39" s="238">
        <f>IF(A39="","",K38+F39-G39)</f>
        <v/>
      </c>
      <c r="L39" s="238">
        <f>IF(A39="","",F39-G39)</f>
        <v/>
      </c>
      <c r="M39" s="192" t="n"/>
      <c r="N39" s="192" t="n"/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229" t="n"/>
      <c r="B40" s="232" t="n"/>
      <c r="C40" s="232" t="n"/>
      <c r="D40" s="232" t="n"/>
      <c r="E40" s="232" t="n"/>
      <c r="F40" s="238" t="n"/>
      <c r="G40" s="238" t="n"/>
      <c r="H40" s="241">
        <f>IF(A40="","",MONTH(A40))</f>
        <v/>
      </c>
      <c r="I40" s="241">
        <f>IF(A40="","",YEAR(A40))</f>
        <v/>
      </c>
      <c r="J40" s="232" t="n"/>
      <c r="K40" s="238">
        <f>IF(A40="","",K39+F40-G40)</f>
        <v/>
      </c>
      <c r="L40" s="238">
        <f>IF(A40="","",F40-G40)</f>
        <v/>
      </c>
      <c r="M40" s="192" t="n"/>
      <c r="N40" s="192" t="n"/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229" t="n"/>
      <c r="B41" s="232" t="n"/>
      <c r="C41" s="232" t="n"/>
      <c r="D41" s="232" t="n"/>
      <c r="E41" s="232" t="n"/>
      <c r="F41" s="238" t="n"/>
      <c r="G41" s="238" t="n"/>
      <c r="H41" s="241">
        <f>IF(A41="","",MONTH(A41))</f>
        <v/>
      </c>
      <c r="I41" s="241">
        <f>IF(A41="","",YEAR(A41))</f>
        <v/>
      </c>
      <c r="J41" s="232" t="n"/>
      <c r="K41" s="238">
        <f>IF(A41="","",K40+F41-G41)</f>
        <v/>
      </c>
      <c r="L41" s="238">
        <f>IF(A41="","",F41-G41)</f>
        <v/>
      </c>
      <c r="M41" s="192" t="n"/>
      <c r="N41" s="192" t="n"/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229" t="n"/>
      <c r="B42" s="232" t="n"/>
      <c r="C42" s="232" t="n"/>
      <c r="D42" s="232" t="n"/>
      <c r="E42" s="232" t="n"/>
      <c r="F42" s="238" t="n"/>
      <c r="G42" s="238" t="n"/>
      <c r="H42" s="241">
        <f>IF(A42="","",MONTH(A42))</f>
        <v/>
      </c>
      <c r="I42" s="241">
        <f>IF(A42="","",YEAR(A42))</f>
        <v/>
      </c>
      <c r="J42" s="232" t="n"/>
      <c r="K42" s="238">
        <f>IF(A42="","",K41+F42-G42)</f>
        <v/>
      </c>
      <c r="L42" s="238">
        <f>IF(A42="","",F42-G42)</f>
        <v/>
      </c>
      <c r="M42" s="192" t="n"/>
      <c r="N42" s="192" t="n"/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229" t="n"/>
      <c r="B43" s="232" t="n"/>
      <c r="C43" s="232" t="n"/>
      <c r="D43" s="232" t="n"/>
      <c r="E43" s="232" t="n"/>
      <c r="F43" s="238" t="n"/>
      <c r="G43" s="238" t="n"/>
      <c r="H43" s="241">
        <f>IF(A43="","",MONTH(A43))</f>
        <v/>
      </c>
      <c r="I43" s="241">
        <f>IF(A43="","",YEAR(A43))</f>
        <v/>
      </c>
      <c r="J43" s="232" t="n"/>
      <c r="K43" s="238">
        <f>IF(A43="","",K42+F43-G43)</f>
        <v/>
      </c>
      <c r="L43" s="238">
        <f>IF(A43="","",F43-G43)</f>
        <v/>
      </c>
      <c r="M43" s="192" t="n"/>
      <c r="N43" s="192" t="n"/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229" t="n"/>
      <c r="B44" s="232" t="n"/>
      <c r="C44" s="232" t="n"/>
      <c r="D44" s="232" t="n"/>
      <c r="E44" s="232" t="n"/>
      <c r="F44" s="238" t="n"/>
      <c r="G44" s="238" t="n"/>
      <c r="H44" s="241">
        <f>IF(A44="","",MONTH(A44))</f>
        <v/>
      </c>
      <c r="I44" s="241">
        <f>IF(A44="","",YEAR(A44))</f>
        <v/>
      </c>
      <c r="J44" s="232" t="n"/>
      <c r="K44" s="238">
        <f>IF(A44="","",K43+F44-G44)</f>
        <v/>
      </c>
      <c r="L44" s="238">
        <f>IF(A44="","",F44-G44)</f>
        <v/>
      </c>
      <c r="M44" s="192" t="n"/>
      <c r="N44" s="192" t="n"/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229" t="n"/>
      <c r="B45" s="232" t="n"/>
      <c r="C45" s="232" t="n"/>
      <c r="D45" s="232" t="n"/>
      <c r="E45" s="232" t="n"/>
      <c r="F45" s="238" t="n"/>
      <c r="G45" s="238" t="n"/>
      <c r="H45" s="241">
        <f>IF(A45="","",MONTH(A45))</f>
        <v/>
      </c>
      <c r="I45" s="241">
        <f>IF(A45="","",YEAR(A45))</f>
        <v/>
      </c>
      <c r="J45" s="232" t="n"/>
      <c r="K45" s="238">
        <f>IF(A45="","",K44+F45-G45)</f>
        <v/>
      </c>
      <c r="L45" s="238">
        <f>IF(A45="","",F45-G45)</f>
        <v/>
      </c>
      <c r="M45" s="192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229" t="n"/>
      <c r="B46" s="232" t="n"/>
      <c r="C46" s="232" t="n"/>
      <c r="D46" s="232" t="n"/>
      <c r="E46" s="232" t="n"/>
      <c r="F46" s="238" t="n"/>
      <c r="G46" s="238" t="n"/>
      <c r="H46" s="241">
        <f>IF(A46="","",MONTH(A46))</f>
        <v/>
      </c>
      <c r="I46" s="241">
        <f>IF(A46="","",YEAR(A46))</f>
        <v/>
      </c>
      <c r="J46" s="232" t="n"/>
      <c r="K46" s="238">
        <f>IF(A46="","",K45+F46-G46)</f>
        <v/>
      </c>
      <c r="L46" s="238">
        <f>IF(A46="","",F46-G46)</f>
        <v/>
      </c>
      <c r="M46" s="192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229" t="n"/>
      <c r="B47" s="232" t="n"/>
      <c r="C47" s="232" t="n"/>
      <c r="D47" s="232" t="n"/>
      <c r="E47" s="232" t="n"/>
      <c r="F47" s="238" t="n"/>
      <c r="G47" s="238" t="n"/>
      <c r="H47" s="241">
        <f>IF(A47="","",MONTH(A47))</f>
        <v/>
      </c>
      <c r="I47" s="241">
        <f>IF(A47="","",YEAR(A47))</f>
        <v/>
      </c>
      <c r="J47" s="232" t="n"/>
      <c r="K47" s="238">
        <f>IF(A47="","",K46+F47-G47)</f>
        <v/>
      </c>
      <c r="L47" s="238">
        <f>IF(A47="","",F47-G47)</f>
        <v/>
      </c>
      <c r="M47" s="192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229" t="n"/>
      <c r="B48" s="232" t="n"/>
      <c r="C48" s="232" t="n"/>
      <c r="D48" s="232" t="n"/>
      <c r="E48" s="232" t="n"/>
      <c r="F48" s="238" t="n"/>
      <c r="G48" s="238" t="n"/>
      <c r="H48" s="241">
        <f>IF(A48="","",MONTH(A48))</f>
        <v/>
      </c>
      <c r="I48" s="241">
        <f>IF(A48="","",YEAR(A48))</f>
        <v/>
      </c>
      <c r="J48" s="232" t="n"/>
      <c r="K48" s="238">
        <f>IF(A48="","",K47+F48-G48)</f>
        <v/>
      </c>
      <c r="L48" s="238">
        <f>IF(A48="","",F48-G48)</f>
        <v/>
      </c>
      <c r="M48" s="192" t="n"/>
      <c r="N48" s="192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229" t="n"/>
      <c r="B49" s="232" t="n"/>
      <c r="C49" s="232" t="n"/>
      <c r="D49" s="232" t="n"/>
      <c r="E49" s="232" t="n"/>
      <c r="F49" s="238" t="n"/>
      <c r="G49" s="238" t="n"/>
      <c r="H49" s="241">
        <f>IF(A49="","",MONTH(A49))</f>
        <v/>
      </c>
      <c r="I49" s="241">
        <f>IF(A49="","",YEAR(A49))</f>
        <v/>
      </c>
      <c r="J49" s="232" t="n"/>
      <c r="K49" s="238">
        <f>IF(A49="","",K48+F49-G49)</f>
        <v/>
      </c>
      <c r="L49" s="238">
        <f>IF(A49="","",F49-G49)</f>
        <v/>
      </c>
      <c r="M49" s="192" t="n"/>
      <c r="N49" s="192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229" t="n"/>
      <c r="B50" s="232" t="n"/>
      <c r="C50" s="232" t="n"/>
      <c r="D50" s="232" t="n"/>
      <c r="E50" s="232" t="n"/>
      <c r="F50" s="238" t="n"/>
      <c r="G50" s="238" t="n"/>
      <c r="H50" s="241">
        <f>IF(A50="","",MONTH(A50))</f>
        <v/>
      </c>
      <c r="I50" s="241">
        <f>IF(A50="","",YEAR(A50))</f>
        <v/>
      </c>
      <c r="J50" s="232" t="n"/>
      <c r="K50" s="238">
        <f>IF(A50="","",K49+F50-G50)</f>
        <v/>
      </c>
      <c r="L50" s="238">
        <f>IF(A50="","",F50-G50)</f>
        <v/>
      </c>
      <c r="M50" s="192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229" t="n"/>
      <c r="B51" s="232" t="n"/>
      <c r="C51" s="232" t="n"/>
      <c r="D51" s="232" t="n"/>
      <c r="E51" s="232" t="n"/>
      <c r="F51" s="238" t="n"/>
      <c r="G51" s="238" t="n"/>
      <c r="H51" s="241">
        <f>IF(A51="","",MONTH(A51))</f>
        <v/>
      </c>
      <c r="I51" s="241">
        <f>IF(A51="","",YEAR(A51))</f>
        <v/>
      </c>
      <c r="J51" s="232" t="n"/>
      <c r="K51" s="238">
        <f>IF(A51="","",K50+F51-G51)</f>
        <v/>
      </c>
      <c r="L51" s="238">
        <f>IF(A51="","",F51-G51)</f>
        <v/>
      </c>
      <c r="M51" s="192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229" t="n"/>
      <c r="B52" s="232" t="n"/>
      <c r="C52" s="232" t="n"/>
      <c r="D52" s="232" t="n"/>
      <c r="E52" s="232" t="n"/>
      <c r="F52" s="238" t="n"/>
      <c r="G52" s="238" t="n"/>
      <c r="H52" s="241">
        <f>IF(A52="","",MONTH(A52))</f>
        <v/>
      </c>
      <c r="I52" s="241">
        <f>IF(A52="","",YEAR(A52))</f>
        <v/>
      </c>
      <c r="J52" s="232" t="n"/>
      <c r="K52" s="238">
        <f>IF(A52="","",K51+F52-G52)</f>
        <v/>
      </c>
      <c r="L52" s="238">
        <f>IF(A52="","",F52-G52)</f>
        <v/>
      </c>
      <c r="M52" s="192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229" t="n"/>
      <c r="B53" s="232" t="n"/>
      <c r="C53" s="232" t="n"/>
      <c r="D53" s="232" t="n"/>
      <c r="E53" s="232" t="n"/>
      <c r="F53" s="238" t="n"/>
      <c r="G53" s="238" t="n"/>
      <c r="H53" s="241">
        <f>IF(A53="","",MONTH(A53))</f>
        <v/>
      </c>
      <c r="I53" s="241">
        <f>IF(A53="","",YEAR(A53))</f>
        <v/>
      </c>
      <c r="J53" s="232" t="n"/>
      <c r="K53" s="238">
        <f>IF(A53="","",K52+F53-G53)</f>
        <v/>
      </c>
      <c r="L53" s="238">
        <f>IF(A53="","",F53-G53)</f>
        <v/>
      </c>
      <c r="M53" s="192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229" t="n"/>
      <c r="B54" s="232" t="n"/>
      <c r="C54" s="232" t="n"/>
      <c r="D54" s="232" t="n"/>
      <c r="E54" s="232" t="n"/>
      <c r="F54" s="238" t="n"/>
      <c r="G54" s="238" t="n"/>
      <c r="H54" s="241">
        <f>IF(A54="","",MONTH(A54))</f>
        <v/>
      </c>
      <c r="I54" s="241">
        <f>IF(A54="","",YEAR(A54))</f>
        <v/>
      </c>
      <c r="J54" s="232" t="n"/>
      <c r="K54" s="238">
        <f>IF(A54="","",K53+F54-G54)</f>
        <v/>
      </c>
      <c r="L54" s="238">
        <f>IF(A54="","",F54-G54)</f>
        <v/>
      </c>
      <c r="M54" s="192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229" t="n"/>
      <c r="B55" s="232" t="n"/>
      <c r="C55" s="232" t="n"/>
      <c r="D55" s="232" t="n"/>
      <c r="E55" s="232" t="n"/>
      <c r="F55" s="238" t="n"/>
      <c r="G55" s="238" t="n"/>
      <c r="H55" s="241">
        <f>IF(A55="","",MONTH(A55))</f>
        <v/>
      </c>
      <c r="I55" s="241">
        <f>IF(A55="","",YEAR(A55))</f>
        <v/>
      </c>
      <c r="J55" s="232" t="n"/>
      <c r="K55" s="238">
        <f>IF(A55="","",K54+F55-G55)</f>
        <v/>
      </c>
      <c r="L55" s="238">
        <f>IF(A55="","",F55-G55)</f>
        <v/>
      </c>
      <c r="M55" s="192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229" t="n"/>
      <c r="B56" s="232" t="n"/>
      <c r="C56" s="232" t="n"/>
      <c r="D56" s="232" t="n"/>
      <c r="E56" s="232" t="n"/>
      <c r="F56" s="238" t="n"/>
      <c r="G56" s="238" t="n"/>
      <c r="H56" s="241">
        <f>IF(A56="","",MONTH(A56))</f>
        <v/>
      </c>
      <c r="I56" s="241">
        <f>IF(A56="","",YEAR(A56))</f>
        <v/>
      </c>
      <c r="J56" s="232" t="n"/>
      <c r="K56" s="238">
        <f>IF(A56="","",K55+F56-G56)</f>
        <v/>
      </c>
      <c r="L56" s="238">
        <f>IF(A56="","",F56-G56)</f>
        <v/>
      </c>
      <c r="M56" s="192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229" t="n"/>
      <c r="B57" s="232" t="n"/>
      <c r="C57" s="232" t="n"/>
      <c r="D57" s="232" t="n"/>
      <c r="E57" s="232" t="n"/>
      <c r="F57" s="238" t="n"/>
      <c r="G57" s="238" t="n"/>
      <c r="H57" s="241">
        <f>IF(A57="","",MONTH(A57))</f>
        <v/>
      </c>
      <c r="I57" s="241">
        <f>IF(A57="","",YEAR(A57))</f>
        <v/>
      </c>
      <c r="J57" s="232" t="n"/>
      <c r="K57" s="238">
        <f>IF(A57="","",K56+F57-G57)</f>
        <v/>
      </c>
      <c r="L57" s="238">
        <f>IF(A57="","",F57-G57)</f>
        <v/>
      </c>
      <c r="M57" s="192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229" t="n"/>
      <c r="B58" s="232" t="n"/>
      <c r="C58" s="232" t="n"/>
      <c r="D58" s="232" t="n"/>
      <c r="E58" s="232" t="n"/>
      <c r="F58" s="238" t="n"/>
      <c r="G58" s="238" t="n"/>
      <c r="H58" s="241">
        <f>IF(A58="","",MONTH(A58))</f>
        <v/>
      </c>
      <c r="I58" s="241">
        <f>IF(A58="","",YEAR(A58))</f>
        <v/>
      </c>
      <c r="J58" s="232" t="n"/>
      <c r="K58" s="238">
        <f>IF(A58="","",K57+F58-G58)</f>
        <v/>
      </c>
      <c r="L58" s="238">
        <f>IF(A58="","",F58-G58)</f>
        <v/>
      </c>
      <c r="M58" s="192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229" t="n"/>
      <c r="B59" s="232" t="n"/>
      <c r="C59" s="232" t="n"/>
      <c r="D59" s="232" t="n"/>
      <c r="E59" s="232" t="n"/>
      <c r="F59" s="238" t="n"/>
      <c r="G59" s="238" t="n"/>
      <c r="H59" s="241">
        <f>IF(A59="","",MONTH(A59))</f>
        <v/>
      </c>
      <c r="I59" s="241">
        <f>IF(A59="","",YEAR(A59))</f>
        <v/>
      </c>
      <c r="J59" s="232" t="n"/>
      <c r="K59" s="238">
        <f>IF(A59="","",K58+F59-G59)</f>
        <v/>
      </c>
      <c r="L59" s="238">
        <f>IF(A59="","",F59-G59)</f>
        <v/>
      </c>
      <c r="M59" s="192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229" t="n"/>
      <c r="B60" s="232" t="n"/>
      <c r="C60" s="232" t="n"/>
      <c r="D60" s="232" t="n"/>
      <c r="E60" s="232" t="n"/>
      <c r="F60" s="238" t="n"/>
      <c r="G60" s="238" t="n"/>
      <c r="H60" s="241">
        <f>IF(A60="","",MONTH(A60))</f>
        <v/>
      </c>
      <c r="I60" s="241">
        <f>IF(A60="","",YEAR(A60))</f>
        <v/>
      </c>
      <c r="J60" s="232" t="n"/>
      <c r="K60" s="238">
        <f>IF(A60="","",K59+F60-G60)</f>
        <v/>
      </c>
      <c r="L60" s="238">
        <f>IF(A60="","",F60-G60)</f>
        <v/>
      </c>
      <c r="M60" s="192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229" t="n"/>
      <c r="B61" s="232" t="n"/>
      <c r="C61" s="232" t="n"/>
      <c r="D61" s="232" t="n"/>
      <c r="E61" s="232" t="n"/>
      <c r="F61" s="238" t="n"/>
      <c r="G61" s="238" t="n"/>
      <c r="H61" s="241">
        <f>IF(A61="","",MONTH(A61))</f>
        <v/>
      </c>
      <c r="I61" s="241">
        <f>IF(A61="","",YEAR(A61))</f>
        <v/>
      </c>
      <c r="J61" s="232" t="n"/>
      <c r="K61" s="238">
        <f>IF(A61="","",K60+F61-G61)</f>
        <v/>
      </c>
      <c r="L61" s="238">
        <f>IF(A61="","",F61-G61)</f>
        <v/>
      </c>
      <c r="M61" s="192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229" t="n"/>
      <c r="B62" s="232" t="n"/>
      <c r="C62" s="232" t="n"/>
      <c r="D62" s="232" t="n"/>
      <c r="E62" s="232" t="n"/>
      <c r="F62" s="238" t="n"/>
      <c r="G62" s="238" t="n"/>
      <c r="H62" s="241">
        <f>IF(A62="","",MONTH(A62))</f>
        <v/>
      </c>
      <c r="I62" s="241">
        <f>IF(A62="","",YEAR(A62))</f>
        <v/>
      </c>
      <c r="J62" s="232" t="n"/>
      <c r="K62" s="238">
        <f>IF(A62="","",K61+F62-G62)</f>
        <v/>
      </c>
      <c r="L62" s="238">
        <f>IF(A62="","",F62-G62)</f>
        <v/>
      </c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229" t="n"/>
      <c r="B63" s="232" t="n"/>
      <c r="C63" s="232" t="n"/>
      <c r="D63" s="232" t="n"/>
      <c r="E63" s="232" t="n"/>
      <c r="F63" s="238" t="n"/>
      <c r="G63" s="238" t="n"/>
      <c r="H63" s="241">
        <f>IF(A63="","",MONTH(A63))</f>
        <v/>
      </c>
      <c r="I63" s="241">
        <f>IF(A63="","",YEAR(A63))</f>
        <v/>
      </c>
      <c r="J63" s="232" t="n"/>
      <c r="K63" s="238">
        <f>IF(A63="","",K62+F63-G63)</f>
        <v/>
      </c>
      <c r="L63" s="238">
        <f>IF(A63="","",F63-G63)</f>
        <v/>
      </c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229" t="n"/>
      <c r="B64" s="232" t="n"/>
      <c r="C64" s="232" t="n"/>
      <c r="D64" s="232" t="n"/>
      <c r="E64" s="232" t="n"/>
      <c r="F64" s="238" t="n"/>
      <c r="G64" s="238" t="n"/>
      <c r="H64" s="241">
        <f>IF(A64="","",MONTH(A64))</f>
        <v/>
      </c>
      <c r="I64" s="241">
        <f>IF(A64="","",YEAR(A64))</f>
        <v/>
      </c>
      <c r="J64" s="232" t="n"/>
      <c r="K64" s="238">
        <f>IF(A64="","",K63+F64-G64)</f>
        <v/>
      </c>
      <c r="L64" s="238">
        <f>IF(A64="","",F64-G64)</f>
        <v/>
      </c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229" t="n"/>
      <c r="B65" s="232" t="n"/>
      <c r="C65" s="232" t="n"/>
      <c r="D65" s="232" t="n"/>
      <c r="E65" s="232" t="n"/>
      <c r="F65" s="238" t="n"/>
      <c r="G65" s="238" t="n"/>
      <c r="H65" s="241">
        <f>IF(A65="","",MONTH(A65))</f>
        <v/>
      </c>
      <c r="I65" s="241">
        <f>IF(A65="","",YEAR(A65))</f>
        <v/>
      </c>
      <c r="J65" s="232" t="n"/>
      <c r="K65" s="238">
        <f>IF(A65="","",K64+F65-G65)</f>
        <v/>
      </c>
      <c r="L65" s="238">
        <f>IF(A65="","",F65-G65)</f>
        <v/>
      </c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229" t="n"/>
      <c r="B66" s="232" t="n"/>
      <c r="C66" s="232" t="n"/>
      <c r="D66" s="232" t="n"/>
      <c r="E66" s="232" t="n"/>
      <c r="F66" s="238" t="n"/>
      <c r="G66" s="238" t="n"/>
      <c r="H66" s="241">
        <f>IF(A66="","",MONTH(A66))</f>
        <v/>
      </c>
      <c r="I66" s="241">
        <f>IF(A66="","",YEAR(A66))</f>
        <v/>
      </c>
      <c r="J66" s="232" t="n"/>
      <c r="K66" s="238">
        <f>IF(A66="","",K65+F66-G66)</f>
        <v/>
      </c>
      <c r="L66" s="238">
        <f>IF(A66="","",F66-G66)</f>
        <v/>
      </c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229" t="n"/>
      <c r="B67" s="232" t="n"/>
      <c r="C67" s="232" t="n"/>
      <c r="D67" s="232" t="n"/>
      <c r="E67" s="232" t="n"/>
      <c r="F67" s="238" t="n"/>
      <c r="G67" s="238" t="n"/>
      <c r="H67" s="241">
        <f>IF(A67="","",MONTH(A67))</f>
        <v/>
      </c>
      <c r="I67" s="241">
        <f>IF(A67="","",YEAR(A67))</f>
        <v/>
      </c>
      <c r="J67" s="232" t="n"/>
      <c r="K67" s="238">
        <f>IF(A67="","",K66+F67-G67)</f>
        <v/>
      </c>
      <c r="L67" s="238">
        <f>IF(A67="","",F67-G67)</f>
        <v/>
      </c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229" t="n"/>
      <c r="B68" s="232" t="n"/>
      <c r="C68" s="232" t="n"/>
      <c r="D68" s="232" t="n"/>
      <c r="E68" s="232" t="n"/>
      <c r="F68" s="238" t="n"/>
      <c r="G68" s="238" t="n"/>
      <c r="H68" s="241">
        <f>IF(A68="","",MONTH(A68))</f>
        <v/>
      </c>
      <c r="I68" s="241">
        <f>IF(A68="","",YEAR(A68))</f>
        <v/>
      </c>
      <c r="J68" s="232" t="n"/>
      <c r="K68" s="238">
        <f>IF(A68="","",K67+F68-G68)</f>
        <v/>
      </c>
      <c r="L68" s="238">
        <f>IF(A68="","",F68-G68)</f>
        <v/>
      </c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229" t="n"/>
      <c r="B69" s="232" t="n"/>
      <c r="C69" s="232" t="n"/>
      <c r="D69" s="232" t="n"/>
      <c r="E69" s="232" t="n"/>
      <c r="F69" s="238" t="n"/>
      <c r="G69" s="238" t="n"/>
      <c r="H69" s="241">
        <f>IF(A69="","",MONTH(A69))</f>
        <v/>
      </c>
      <c r="I69" s="241">
        <f>IF(A69="","",YEAR(A69))</f>
        <v/>
      </c>
      <c r="J69" s="232" t="n"/>
      <c r="K69" s="238">
        <f>IF(A69="","",K68+F69-G69)</f>
        <v/>
      </c>
      <c r="L69" s="238">
        <f>IF(A69="","",F69-G69)</f>
        <v/>
      </c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229" t="n"/>
      <c r="B70" s="232" t="n"/>
      <c r="C70" s="232" t="n"/>
      <c r="D70" s="232" t="n"/>
      <c r="E70" s="232" t="n"/>
      <c r="F70" s="238" t="n"/>
      <c r="G70" s="238" t="n"/>
      <c r="H70" s="241">
        <f>IF(A70="","",MONTH(A70))</f>
        <v/>
      </c>
      <c r="I70" s="241">
        <f>IF(A70="","",YEAR(A70))</f>
        <v/>
      </c>
      <c r="J70" s="232" t="n"/>
      <c r="K70" s="238">
        <f>IF(A70="","",K69+F70-G70)</f>
        <v/>
      </c>
      <c r="L70" s="238">
        <f>IF(A70="","",F70-G70)</f>
        <v/>
      </c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229" t="n"/>
      <c r="B71" s="232" t="n"/>
      <c r="C71" s="232" t="n"/>
      <c r="D71" s="232" t="n"/>
      <c r="E71" s="232" t="n"/>
      <c r="F71" s="238" t="n"/>
      <c r="G71" s="238" t="n"/>
      <c r="H71" s="241">
        <f>IF(A71="","",MONTH(A71))</f>
        <v/>
      </c>
      <c r="I71" s="241">
        <f>IF(A71="","",YEAR(A71))</f>
        <v/>
      </c>
      <c r="J71" s="232" t="n"/>
      <c r="K71" s="238">
        <f>IF(A71="","",K70+F71-G71)</f>
        <v/>
      </c>
      <c r="L71" s="238">
        <f>IF(A71="","",F71-G71)</f>
        <v/>
      </c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229" t="n"/>
      <c r="B72" s="232" t="n"/>
      <c r="C72" s="232" t="n"/>
      <c r="D72" s="232" t="n"/>
      <c r="E72" s="232" t="n"/>
      <c r="F72" s="238" t="n"/>
      <c r="G72" s="238" t="n"/>
      <c r="H72" s="241">
        <f>IF(A72="","",MONTH(A72))</f>
        <v/>
      </c>
      <c r="I72" s="241">
        <f>IF(A72="","",YEAR(A72))</f>
        <v/>
      </c>
      <c r="J72" s="232" t="n"/>
      <c r="K72" s="238">
        <f>IF(A72="","",K71+F72-G72)</f>
        <v/>
      </c>
      <c r="L72" s="238">
        <f>IF(A72="","",F72-G72)</f>
        <v/>
      </c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229" t="n"/>
      <c r="B73" s="232" t="n"/>
      <c r="C73" s="232" t="n"/>
      <c r="D73" s="232" t="n"/>
      <c r="E73" s="232" t="n"/>
      <c r="F73" s="238" t="n"/>
      <c r="G73" s="238" t="n"/>
      <c r="H73" s="241">
        <f>IF(A73="","",MONTH(A73))</f>
        <v/>
      </c>
      <c r="I73" s="241">
        <f>IF(A73="","",YEAR(A73))</f>
        <v/>
      </c>
      <c r="J73" s="232" t="n"/>
      <c r="K73" s="238">
        <f>IF(A73="","",K72+F73-G73)</f>
        <v/>
      </c>
      <c r="L73" s="238">
        <f>IF(A73="","",F73-G73)</f>
        <v/>
      </c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229" t="n"/>
      <c r="B74" s="232" t="n"/>
      <c r="C74" s="232" t="n"/>
      <c r="D74" s="232" t="n"/>
      <c r="E74" s="232" t="n"/>
      <c r="F74" s="238" t="n"/>
      <c r="G74" s="238" t="n"/>
      <c r="H74" s="241">
        <f>IF(A74="","",MONTH(A74))</f>
        <v/>
      </c>
      <c r="I74" s="241">
        <f>IF(A74="","",YEAR(A74))</f>
        <v/>
      </c>
      <c r="J74" s="232" t="n"/>
      <c r="K74" s="238">
        <f>IF(A74="","",K73+F74-G74)</f>
        <v/>
      </c>
      <c r="L74" s="238">
        <f>IF(A74="","",F74-G74)</f>
        <v/>
      </c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229" t="n"/>
      <c r="B75" s="232" t="n"/>
      <c r="C75" s="232" t="n"/>
      <c r="D75" s="232" t="n"/>
      <c r="E75" s="232" t="n"/>
      <c r="F75" s="238" t="n"/>
      <c r="G75" s="238" t="n"/>
      <c r="H75" s="241">
        <f>IF(A75="","",MONTH(A75))</f>
        <v/>
      </c>
      <c r="I75" s="241">
        <f>IF(A75="","",YEAR(A75))</f>
        <v/>
      </c>
      <c r="J75" s="232" t="n"/>
      <c r="K75" s="238">
        <f>IF(A75="","",K74+F75-G75)</f>
        <v/>
      </c>
      <c r="L75" s="238">
        <f>IF(A75="","",F75-G75)</f>
        <v/>
      </c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229" t="n"/>
      <c r="B76" s="232" t="n"/>
      <c r="C76" s="232" t="n"/>
      <c r="D76" s="232" t="n"/>
      <c r="E76" s="232" t="n"/>
      <c r="F76" s="238" t="n"/>
      <c r="G76" s="238" t="n"/>
      <c r="H76" s="241">
        <f>IF(A76="","",MONTH(A76))</f>
        <v/>
      </c>
      <c r="I76" s="241">
        <f>IF(A76="","",YEAR(A76))</f>
        <v/>
      </c>
      <c r="J76" s="232" t="n"/>
      <c r="K76" s="238">
        <f>IF(A76="","",K75+F76-G76)</f>
        <v/>
      </c>
      <c r="L76" s="238">
        <f>IF(A76="","",F76-G76)</f>
        <v/>
      </c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229" t="n"/>
      <c r="B77" s="232" t="n"/>
      <c r="C77" s="232" t="n"/>
      <c r="D77" s="232" t="n"/>
      <c r="E77" s="232" t="n"/>
      <c r="F77" s="238" t="n"/>
      <c r="G77" s="238" t="n"/>
      <c r="H77" s="241">
        <f>IF(A77="","",MONTH(A77))</f>
        <v/>
      </c>
      <c r="I77" s="241">
        <f>IF(A77="","",YEAR(A77))</f>
        <v/>
      </c>
      <c r="J77" s="232" t="n"/>
      <c r="K77" s="238">
        <f>IF(A77="","",K76+F77-G77)</f>
        <v/>
      </c>
      <c r="L77" s="238">
        <f>IF(A77="","",F77-G77)</f>
        <v/>
      </c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229" t="n"/>
      <c r="B78" s="232" t="n"/>
      <c r="C78" s="232" t="n"/>
      <c r="D78" s="232" t="n"/>
      <c r="E78" s="232" t="n"/>
      <c r="F78" s="238" t="n"/>
      <c r="G78" s="238" t="n"/>
      <c r="H78" s="241">
        <f>IF(A78="","",MONTH(A78))</f>
        <v/>
      </c>
      <c r="I78" s="241">
        <f>IF(A78="","",YEAR(A78))</f>
        <v/>
      </c>
      <c r="J78" s="232" t="n"/>
      <c r="K78" s="238">
        <f>IF(A78="","",K77+F78-G78)</f>
        <v/>
      </c>
      <c r="L78" s="238">
        <f>IF(A78="","",F78-G78)</f>
        <v/>
      </c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229" t="n"/>
      <c r="B79" s="232" t="n"/>
      <c r="C79" s="232" t="n"/>
      <c r="D79" s="232" t="n"/>
      <c r="E79" s="232" t="n"/>
      <c r="F79" s="238" t="n"/>
      <c r="G79" s="238" t="n"/>
      <c r="H79" s="241">
        <f>IF(A79="","",MONTH(A79))</f>
        <v/>
      </c>
      <c r="I79" s="241">
        <f>IF(A79="","",YEAR(A79))</f>
        <v/>
      </c>
      <c r="J79" s="232" t="n"/>
      <c r="K79" s="238">
        <f>IF(A79="","",K78+F79-G79)</f>
        <v/>
      </c>
      <c r="L79" s="238">
        <f>IF(A79="","",F79-G79)</f>
        <v/>
      </c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229" t="n"/>
      <c r="B80" s="232" t="n"/>
      <c r="C80" s="232" t="n"/>
      <c r="D80" s="232" t="n"/>
      <c r="E80" s="232" t="n"/>
      <c r="F80" s="238" t="n"/>
      <c r="G80" s="238" t="n"/>
      <c r="H80" s="241">
        <f>IF(A80="","",MONTH(A80))</f>
        <v/>
      </c>
      <c r="I80" s="241">
        <f>IF(A80="","",YEAR(A80))</f>
        <v/>
      </c>
      <c r="J80" s="232" t="n"/>
      <c r="K80" s="238">
        <f>IF(A80="","",K79+F80-G80)</f>
        <v/>
      </c>
      <c r="L80" s="238">
        <f>IF(A80="","",F80-G80)</f>
        <v/>
      </c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229" t="n"/>
      <c r="B81" s="232" t="n"/>
      <c r="C81" s="232" t="n"/>
      <c r="D81" s="232" t="n"/>
      <c r="E81" s="232" t="n"/>
      <c r="F81" s="238" t="n"/>
      <c r="G81" s="238" t="n"/>
      <c r="H81" s="241">
        <f>IF(A81="","",MONTH(A81))</f>
        <v/>
      </c>
      <c r="I81" s="241">
        <f>IF(A81="","",YEAR(A81))</f>
        <v/>
      </c>
      <c r="J81" s="232" t="n"/>
      <c r="K81" s="238">
        <f>IF(A81="","",K80+F81-G81)</f>
        <v/>
      </c>
      <c r="L81" s="238">
        <f>IF(A81="","",F81-G81)</f>
        <v/>
      </c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229" t="n"/>
      <c r="B82" s="232" t="n"/>
      <c r="C82" s="232" t="n"/>
      <c r="D82" s="232" t="n"/>
      <c r="E82" s="232" t="n"/>
      <c r="F82" s="238" t="n"/>
      <c r="G82" s="238" t="n"/>
      <c r="H82" s="241">
        <f>IF(A82="","",MONTH(A82))</f>
        <v/>
      </c>
      <c r="I82" s="241">
        <f>IF(A82="","",YEAR(A82))</f>
        <v/>
      </c>
      <c r="J82" s="232" t="n"/>
      <c r="K82" s="238">
        <f>IF(A82="","",K81+F82-G82)</f>
        <v/>
      </c>
      <c r="L82" s="238">
        <f>IF(A82="","",F82-G82)</f>
        <v/>
      </c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229" t="n"/>
      <c r="B83" s="232" t="n"/>
      <c r="C83" s="232" t="n"/>
      <c r="D83" s="232" t="n"/>
      <c r="E83" s="232" t="n"/>
      <c r="F83" s="238" t="n"/>
      <c r="G83" s="238" t="n"/>
      <c r="H83" s="241">
        <f>IF(A83="","",MONTH(A83))</f>
        <v/>
      </c>
      <c r="I83" s="241">
        <f>IF(A83="","",YEAR(A83))</f>
        <v/>
      </c>
      <c r="J83" s="232" t="n"/>
      <c r="K83" s="238">
        <f>IF(A83="","",K82+F83-G83)</f>
        <v/>
      </c>
      <c r="L83" s="238">
        <f>IF(A83="","",F83-G83)</f>
        <v/>
      </c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229" t="n"/>
      <c r="B84" s="232" t="n"/>
      <c r="C84" s="232" t="n"/>
      <c r="D84" s="232" t="n"/>
      <c r="E84" s="232" t="n"/>
      <c r="F84" s="238" t="n"/>
      <c r="G84" s="238" t="n"/>
      <c r="H84" s="241">
        <f>IF(A84="","",MONTH(A84))</f>
        <v/>
      </c>
      <c r="I84" s="241">
        <f>IF(A84="","",YEAR(A84))</f>
        <v/>
      </c>
      <c r="J84" s="232" t="n"/>
      <c r="K84" s="238">
        <f>IF(A84="","",K83+F84-G84)</f>
        <v/>
      </c>
      <c r="L84" s="238">
        <f>IF(A84="","",F84-G84)</f>
        <v/>
      </c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229" t="n"/>
      <c r="B85" s="232" t="n"/>
      <c r="C85" s="232" t="n"/>
      <c r="D85" s="232" t="n"/>
      <c r="E85" s="232" t="n"/>
      <c r="F85" s="238" t="n"/>
      <c r="G85" s="238" t="n"/>
      <c r="H85" s="241">
        <f>IF(A85="","",MONTH(A85))</f>
        <v/>
      </c>
      <c r="I85" s="241">
        <f>IF(A85="","",YEAR(A85))</f>
        <v/>
      </c>
      <c r="J85" s="232" t="n"/>
      <c r="K85" s="238">
        <f>IF(A85="","",K84+F85-G85)</f>
        <v/>
      </c>
      <c r="L85" s="238">
        <f>IF(A85="","",F85-G85)</f>
        <v/>
      </c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229" t="n"/>
      <c r="B86" s="232" t="n"/>
      <c r="C86" s="232" t="n"/>
      <c r="D86" s="232" t="n"/>
      <c r="E86" s="232" t="n"/>
      <c r="F86" s="238" t="n"/>
      <c r="G86" s="238" t="n"/>
      <c r="H86" s="241">
        <f>IF(A86="","",MONTH(A86))</f>
        <v/>
      </c>
      <c r="I86" s="241">
        <f>IF(A86="","",YEAR(A86))</f>
        <v/>
      </c>
      <c r="J86" s="232" t="n"/>
      <c r="K86" s="238">
        <f>IF(A86="","",K85+F86-G86)</f>
        <v/>
      </c>
      <c r="L86" s="238">
        <f>IF(A86="","",F86-G86)</f>
        <v/>
      </c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229" t="n"/>
      <c r="B87" s="232" t="n"/>
      <c r="C87" s="232" t="n"/>
      <c r="D87" s="232" t="n"/>
      <c r="E87" s="232" t="n"/>
      <c r="F87" s="238" t="n"/>
      <c r="G87" s="238" t="n"/>
      <c r="H87" s="241">
        <f>IF(A87="","",MONTH(A87))</f>
        <v/>
      </c>
      <c r="I87" s="241">
        <f>IF(A87="","",YEAR(A87))</f>
        <v/>
      </c>
      <c r="J87" s="232" t="n"/>
      <c r="K87" s="238">
        <f>IF(A87="","",K86+F87-G87)</f>
        <v/>
      </c>
      <c r="L87" s="238">
        <f>IF(A87="","",F87-G87)</f>
        <v/>
      </c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229" t="n"/>
      <c r="B88" s="232" t="n"/>
      <c r="C88" s="232" t="n"/>
      <c r="D88" s="232" t="n"/>
      <c r="E88" s="232" t="n"/>
      <c r="F88" s="238" t="n"/>
      <c r="G88" s="238" t="n"/>
      <c r="H88" s="241">
        <f>IF(A88="","",MONTH(A88))</f>
        <v/>
      </c>
      <c r="I88" s="241">
        <f>IF(A88="","",YEAR(A88))</f>
        <v/>
      </c>
      <c r="J88" s="232" t="n"/>
      <c r="K88" s="238">
        <f>IF(A88="","",K87+F88-G88)</f>
        <v/>
      </c>
      <c r="L88" s="238">
        <f>IF(A88="","",F88-G88)</f>
        <v/>
      </c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229" t="n"/>
      <c r="B89" s="232" t="n"/>
      <c r="C89" s="232" t="n"/>
      <c r="D89" s="232" t="n"/>
      <c r="E89" s="232" t="n"/>
      <c r="F89" s="238" t="n"/>
      <c r="G89" s="238" t="n"/>
      <c r="H89" s="241">
        <f>IF(A89="","",MONTH(A89))</f>
        <v/>
      </c>
      <c r="I89" s="241">
        <f>IF(A89="","",YEAR(A89))</f>
        <v/>
      </c>
      <c r="J89" s="232" t="n"/>
      <c r="K89" s="238">
        <f>IF(A89="","",K88+F89-G89)</f>
        <v/>
      </c>
      <c r="L89" s="238">
        <f>IF(A89="","",F89-G89)</f>
        <v/>
      </c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229" t="n"/>
      <c r="B90" s="232" t="n"/>
      <c r="C90" s="232" t="n"/>
      <c r="D90" s="232" t="n"/>
      <c r="E90" s="232" t="n"/>
      <c r="F90" s="238" t="n"/>
      <c r="G90" s="238" t="n"/>
      <c r="H90" s="241">
        <f>IF(A90="","",MONTH(A90))</f>
        <v/>
      </c>
      <c r="I90" s="241">
        <f>IF(A90="","",YEAR(A90))</f>
        <v/>
      </c>
      <c r="J90" s="232" t="n"/>
      <c r="K90" s="238">
        <f>IF(A90="","",K89+F90-G90)</f>
        <v/>
      </c>
      <c r="L90" s="238">
        <f>IF(A90="","",F90-G90)</f>
        <v/>
      </c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229" t="n"/>
      <c r="B91" s="232" t="n"/>
      <c r="C91" s="232" t="n"/>
      <c r="D91" s="232" t="n"/>
      <c r="E91" s="232" t="n"/>
      <c r="F91" s="238" t="n"/>
      <c r="G91" s="238" t="n"/>
      <c r="H91" s="241">
        <f>IF(A91="","",MONTH(A91))</f>
        <v/>
      </c>
      <c r="I91" s="241">
        <f>IF(A91="","",YEAR(A91))</f>
        <v/>
      </c>
      <c r="J91" s="232" t="n"/>
      <c r="K91" s="238">
        <f>IF(A91="","",K90+F91-G91)</f>
        <v/>
      </c>
      <c r="L91" s="238">
        <f>IF(A91="","",F91-G91)</f>
        <v/>
      </c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229" t="n"/>
      <c r="B92" s="232" t="n"/>
      <c r="C92" s="232" t="n"/>
      <c r="D92" s="232" t="n"/>
      <c r="E92" s="232" t="n"/>
      <c r="F92" s="238" t="n"/>
      <c r="G92" s="238" t="n"/>
      <c r="H92" s="241">
        <f>IF(A92="","",MONTH(A92))</f>
        <v/>
      </c>
      <c r="I92" s="241">
        <f>IF(A92="","",YEAR(A92))</f>
        <v/>
      </c>
      <c r="J92" s="232" t="n"/>
      <c r="K92" s="238">
        <f>IF(A92="","",K91+F92-G92)</f>
        <v/>
      </c>
      <c r="L92" s="238">
        <f>IF(A92="","",F92-G92)</f>
        <v/>
      </c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229" t="n"/>
      <c r="B93" s="232" t="n"/>
      <c r="C93" s="232" t="n"/>
      <c r="D93" s="232" t="n"/>
      <c r="E93" s="232" t="n"/>
      <c r="F93" s="238" t="n"/>
      <c r="G93" s="238" t="n"/>
      <c r="H93" s="241">
        <f>IF(A93="","",MONTH(A93))</f>
        <v/>
      </c>
      <c r="I93" s="241">
        <f>IF(A93="","",YEAR(A93))</f>
        <v/>
      </c>
      <c r="J93" s="232" t="n"/>
      <c r="K93" s="238">
        <f>IF(A93="","",K92+F93-G93)</f>
        <v/>
      </c>
      <c r="L93" s="238">
        <f>IF(A93="","",F93-G93)</f>
        <v/>
      </c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229" t="n"/>
      <c r="B94" s="232" t="n"/>
      <c r="C94" s="232" t="n"/>
      <c r="D94" s="232" t="n"/>
      <c r="E94" s="232" t="n"/>
      <c r="F94" s="238" t="n"/>
      <c r="G94" s="238" t="n"/>
      <c r="H94" s="241">
        <f>IF(A94="","",MONTH(A94))</f>
        <v/>
      </c>
      <c r="I94" s="241">
        <f>IF(A94="","",YEAR(A94))</f>
        <v/>
      </c>
      <c r="J94" s="232" t="n"/>
      <c r="K94" s="238">
        <f>IF(A94="","",K93+F94-G94)</f>
        <v/>
      </c>
      <c r="L94" s="238">
        <f>IF(A94="","",F94-G94)</f>
        <v/>
      </c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229" t="n"/>
      <c r="B95" s="232" t="n"/>
      <c r="C95" s="232" t="n"/>
      <c r="D95" s="232" t="n"/>
      <c r="E95" s="232" t="n"/>
      <c r="F95" s="238" t="n"/>
      <c r="G95" s="238" t="n"/>
      <c r="H95" s="241">
        <f>IF(A95="","",MONTH(A95))</f>
        <v/>
      </c>
      <c r="I95" s="241">
        <f>IF(A95="","",YEAR(A95))</f>
        <v/>
      </c>
      <c r="J95" s="232" t="n"/>
      <c r="K95" s="238">
        <f>IF(A95="","",K94+F95-G95)</f>
        <v/>
      </c>
      <c r="L95" s="238">
        <f>IF(A95="","",F95-G95)</f>
        <v/>
      </c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229" t="n"/>
      <c r="B96" s="232" t="n"/>
      <c r="C96" s="232" t="n"/>
      <c r="D96" s="232" t="n"/>
      <c r="E96" s="232" t="n"/>
      <c r="F96" s="238" t="n"/>
      <c r="G96" s="238" t="n"/>
      <c r="H96" s="241">
        <f>IF(A96="","",MONTH(A96))</f>
        <v/>
      </c>
      <c r="I96" s="241">
        <f>IF(A96="","",YEAR(A96))</f>
        <v/>
      </c>
      <c r="J96" s="232" t="n"/>
      <c r="K96" s="238">
        <f>IF(A96="","",K95+F96-G96)</f>
        <v/>
      </c>
      <c r="L96" s="238">
        <f>IF(A96="","",F96-G96)</f>
        <v/>
      </c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229" t="n"/>
      <c r="B97" s="232" t="n"/>
      <c r="C97" s="232" t="n"/>
      <c r="D97" s="232" t="n"/>
      <c r="E97" s="232" t="n"/>
      <c r="F97" s="238" t="n"/>
      <c r="G97" s="238" t="n"/>
      <c r="H97" s="241">
        <f>IF(A97="","",MONTH(A97))</f>
        <v/>
      </c>
      <c r="I97" s="241">
        <f>IF(A97="","",YEAR(A97))</f>
        <v/>
      </c>
      <c r="J97" s="232" t="n"/>
      <c r="K97" s="238">
        <f>IF(A97="","",K96+F97-G97)</f>
        <v/>
      </c>
      <c r="L97" s="238">
        <f>IF(A97="","",F97-G97)</f>
        <v/>
      </c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229" t="n"/>
      <c r="B98" s="232" t="n"/>
      <c r="C98" s="232" t="n"/>
      <c r="D98" s="232" t="n"/>
      <c r="E98" s="232" t="n"/>
      <c r="F98" s="238" t="n"/>
      <c r="G98" s="238" t="n"/>
      <c r="H98" s="241">
        <f>IF(A98="","",MONTH(A98))</f>
        <v/>
      </c>
      <c r="I98" s="241">
        <f>IF(A98="","",YEAR(A98))</f>
        <v/>
      </c>
      <c r="J98" s="232" t="n"/>
      <c r="K98" s="238">
        <f>IF(A98="","",K97+F98-G98)</f>
        <v/>
      </c>
      <c r="L98" s="238">
        <f>IF(A98="","",F98-G98)</f>
        <v/>
      </c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229" t="n"/>
      <c r="B99" s="232" t="n"/>
      <c r="C99" s="232" t="n"/>
      <c r="D99" s="232" t="n"/>
      <c r="E99" s="232" t="n"/>
      <c r="F99" s="238" t="n"/>
      <c r="G99" s="238" t="n"/>
      <c r="H99" s="241">
        <f>IF(A99="","",MONTH(A99))</f>
        <v/>
      </c>
      <c r="I99" s="241">
        <f>IF(A99="","",YEAR(A99))</f>
        <v/>
      </c>
      <c r="J99" s="232" t="n"/>
      <c r="K99" s="238">
        <f>IF(A99="","",K98+F99-G99)</f>
        <v/>
      </c>
      <c r="L99" s="238">
        <f>IF(A99="","",F99-G99)</f>
        <v/>
      </c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2">
    <mergeCell ref="Q2:T2"/>
    <mergeCell ref="A2:P2"/>
  </mergeCells>
  <dataValidations count="1">
    <dataValidation sqref="B5:B99" showDropDown="0" showInputMessage="0" showErrorMessage="0" allowBlank="1" type="list">
      <formula1>"Ingreso,Egreso,Ajuste,Traspaso"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7E3AF2"/>
    <outlinePr summaryBelow="1" summaryRight="1"/>
    <pageSetUpPr/>
  </sheetPr>
  <dimension ref="A1:Y120"/>
  <sheetViews>
    <sheetView showGridLines="0" workbookViewId="0">
      <selection activeCell="A1" sqref="A1"/>
    </sheetView>
  </sheetViews>
  <sheetFormatPr baseColWidth="10" defaultColWidth="9.140625" defaultRowHeight="15"/>
  <cols>
    <col width="12" customWidth="1" style="22" min="1" max="1"/>
    <col width="22" customWidth="1" style="22" min="2" max="2"/>
    <col width="14" customWidth="1" style="22" min="3" max="6"/>
    <col width="3" customWidth="1" style="22" min="7" max="7"/>
    <col width="12" customWidth="1" style="22" min="9" max="9"/>
    <col width="22" customWidth="1" style="22" min="10" max="10"/>
    <col width="14" customWidth="1" style="22" min="11" max="14"/>
  </cols>
  <sheetData>
    <row r="1" ht="6" customHeight="1" s="22">
      <c r="A1" s="132" t="inlineStr">
        <is>
          <t>Conciliación bancaria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133" t="inlineStr">
        <is>
          <t>Plantilla Empresarial</t>
        </is>
      </c>
      <c r="P1" s="50" t="n"/>
      <c r="Q1" s="50" t="n"/>
      <c r="R1" s="50" t="n"/>
      <c r="S1" s="50" t="n"/>
      <c r="T1" s="50" t="n"/>
      <c r="U1" s="1" t="n"/>
      <c r="V1" s="1" t="n"/>
      <c r="W1" s="1" t="n"/>
      <c r="X1" s="1" t="n"/>
      <c r="Y1" s="1" t="n"/>
    </row>
    <row r="2" ht="32" customHeight="1" s="22">
      <c r="A2" s="134" t="inlineStr">
        <is>
          <t>🔄  CONCILIACIÓN BANCARIA</t>
        </is>
      </c>
      <c r="Q2" s="135" t="inlineStr">
        <is>
          <t>Módulo Tesorería</t>
        </is>
      </c>
      <c r="U2" s="1" t="n"/>
      <c r="V2" s="1" t="n"/>
      <c r="W2" s="1" t="n"/>
      <c r="X2" s="1" t="n"/>
      <c r="Y2" s="1" t="n"/>
    </row>
    <row r="3" ht="4" customHeight="1" s="22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1" t="n"/>
      <c r="V3" s="1" t="n"/>
      <c r="W3" s="1" t="n"/>
      <c r="X3" s="1" t="n"/>
      <c r="Y3" s="1" t="n"/>
    </row>
    <row r="4">
      <c r="A4" s="27" t="inlineStr">
        <is>
          <t>Libro interno</t>
        </is>
      </c>
      <c r="G4" s="1" t="n"/>
      <c r="H4" s="1" t="n"/>
      <c r="I4" s="27" t="inlineStr">
        <is>
          <t>Cartola bancaria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G5" s="1" t="n"/>
      <c r="H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7" t="inlineStr">
        <is>
          <t>FECHA</t>
        </is>
      </c>
      <c r="B7" s="7" t="inlineStr">
        <is>
          <t>CONCEPTO</t>
        </is>
      </c>
      <c r="C7" s="7" t="inlineStr">
        <is>
          <t>REFERENCIA</t>
        </is>
      </c>
      <c r="D7" s="7" t="inlineStr">
        <is>
          <t>INGRESO</t>
        </is>
      </c>
      <c r="E7" s="7" t="inlineStr">
        <is>
          <t>EGRESO</t>
        </is>
      </c>
      <c r="F7" s="7" t="inlineStr">
        <is>
          <t>SALDO</t>
        </is>
      </c>
      <c r="G7" s="1" t="n"/>
      <c r="H7" s="1" t="n"/>
      <c r="I7" s="7" t="inlineStr">
        <is>
          <t>FECHA</t>
        </is>
      </c>
      <c r="J7" s="7" t="inlineStr">
        <is>
          <t>CONCEPTO</t>
        </is>
      </c>
      <c r="K7" s="7" t="inlineStr">
        <is>
          <t>REFERENCIA</t>
        </is>
      </c>
      <c r="L7" s="7" t="inlineStr">
        <is>
          <t>INGRESO</t>
        </is>
      </c>
      <c r="M7" s="7" t="inlineStr">
        <is>
          <t>EGRESO</t>
        </is>
      </c>
      <c r="N7" s="7" t="inlineStr">
        <is>
          <t>SALDO</t>
        </is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229" t="n"/>
      <c r="B8" s="232" t="n"/>
      <c r="C8" s="232" t="n"/>
      <c r="D8" s="238" t="n"/>
      <c r="E8" s="238" t="n"/>
      <c r="F8" s="225">
        <f>IF(A8="","",D8-E8)</f>
        <v/>
      </c>
      <c r="G8" s="192" t="n"/>
      <c r="H8" s="192" t="n"/>
      <c r="I8" s="229" t="n"/>
      <c r="J8" s="232" t="n"/>
      <c r="K8" s="232" t="n"/>
      <c r="L8" s="238" t="n"/>
      <c r="M8" s="238" t="n"/>
      <c r="N8" s="225">
        <f>IF(I8="","",L8-M8)</f>
        <v/>
      </c>
      <c r="O8" s="192" t="n"/>
      <c r="P8" s="192" t="n"/>
      <c r="Q8" s="192" t="n"/>
      <c r="R8" s="192" t="n"/>
      <c r="S8" s="192" t="n"/>
      <c r="T8" s="1" t="n"/>
      <c r="U8" s="1" t="n"/>
      <c r="V8" s="1" t="n"/>
      <c r="W8" s="1" t="n"/>
      <c r="X8" s="1" t="n"/>
      <c r="Y8" s="1" t="n"/>
    </row>
    <row r="9">
      <c r="A9" s="229" t="n"/>
      <c r="B9" s="232" t="n"/>
      <c r="C9" s="232" t="n"/>
      <c r="D9" s="238" t="n"/>
      <c r="E9" s="238" t="n"/>
      <c r="F9" s="225">
        <f>IF(A9="","",F8+D9-E9)</f>
        <v/>
      </c>
      <c r="G9" s="192" t="n"/>
      <c r="H9" s="192" t="n"/>
      <c r="I9" s="229" t="n"/>
      <c r="J9" s="232" t="n"/>
      <c r="K9" s="232" t="n"/>
      <c r="L9" s="238" t="n"/>
      <c r="M9" s="238" t="n"/>
      <c r="N9" s="225">
        <f>IF(I9="","",N8+L9-M9)</f>
        <v/>
      </c>
      <c r="O9" s="192" t="n"/>
      <c r="P9" s="192" t="n"/>
      <c r="Q9" s="192" t="n"/>
      <c r="R9" s="192" t="n"/>
      <c r="S9" s="192" t="n"/>
      <c r="T9" s="1" t="n"/>
      <c r="U9" s="1" t="n"/>
      <c r="V9" s="1" t="n"/>
      <c r="W9" s="1" t="n"/>
      <c r="X9" s="1" t="n"/>
      <c r="Y9" s="1" t="n"/>
    </row>
    <row r="10">
      <c r="A10" s="229" t="n"/>
      <c r="B10" s="232" t="n"/>
      <c r="C10" s="232" t="n"/>
      <c r="D10" s="238" t="n"/>
      <c r="E10" s="238" t="n"/>
      <c r="F10" s="225">
        <f>IF(A10="","",F9+D10-E10)</f>
        <v/>
      </c>
      <c r="G10" s="192" t="n"/>
      <c r="H10" s="192" t="n"/>
      <c r="I10" s="229" t="n"/>
      <c r="J10" s="232" t="n"/>
      <c r="K10" s="232" t="n"/>
      <c r="L10" s="238" t="n"/>
      <c r="M10" s="238" t="n"/>
      <c r="N10" s="225">
        <f>IF(I10="","",N9+L10-M10)</f>
        <v/>
      </c>
      <c r="O10" s="192" t="n"/>
      <c r="P10" s="192" t="n"/>
      <c r="Q10" s="192" t="n"/>
      <c r="R10" s="192" t="n"/>
      <c r="S10" s="192" t="n"/>
      <c r="T10" s="1" t="n"/>
      <c r="U10" s="1" t="n"/>
      <c r="V10" s="1" t="n"/>
      <c r="W10" s="1" t="n"/>
      <c r="X10" s="1" t="n"/>
      <c r="Y10" s="1" t="n"/>
    </row>
    <row r="11">
      <c r="A11" s="229" t="n"/>
      <c r="B11" s="232" t="n"/>
      <c r="C11" s="232" t="n"/>
      <c r="D11" s="238" t="n"/>
      <c r="E11" s="238" t="n"/>
      <c r="F11" s="225">
        <f>IF(A11="","",F10+D11-E11)</f>
        <v/>
      </c>
      <c r="G11" s="192" t="n"/>
      <c r="H11" s="192" t="n"/>
      <c r="I11" s="229" t="n"/>
      <c r="J11" s="232" t="n"/>
      <c r="K11" s="232" t="n"/>
      <c r="L11" s="238" t="n"/>
      <c r="M11" s="238" t="n"/>
      <c r="N11" s="225">
        <f>IF(I11="","",N10+L11-M11)</f>
        <v/>
      </c>
      <c r="O11" s="192" t="n"/>
      <c r="P11" s="192" t="n"/>
      <c r="Q11" s="192" t="n"/>
      <c r="R11" s="192" t="n"/>
      <c r="S11" s="192" t="n"/>
      <c r="T11" s="1" t="n"/>
      <c r="U11" s="1" t="n"/>
      <c r="V11" s="1" t="n"/>
      <c r="W11" s="1" t="n"/>
      <c r="X11" s="1" t="n"/>
      <c r="Y11" s="1" t="n"/>
    </row>
    <row r="12">
      <c r="A12" s="229" t="n"/>
      <c r="B12" s="232" t="n"/>
      <c r="C12" s="232" t="n"/>
      <c r="D12" s="238" t="n"/>
      <c r="E12" s="238" t="n"/>
      <c r="F12" s="225">
        <f>IF(A12="","",F11+D12-E12)</f>
        <v/>
      </c>
      <c r="G12" s="192" t="n"/>
      <c r="H12" s="192" t="n"/>
      <c r="I12" s="229" t="n"/>
      <c r="J12" s="232" t="n"/>
      <c r="K12" s="232" t="n"/>
      <c r="L12" s="238" t="n"/>
      <c r="M12" s="238" t="n"/>
      <c r="N12" s="225">
        <f>IF(I12="","",N11+L12-M12)</f>
        <v/>
      </c>
      <c r="O12" s="192" t="n"/>
      <c r="P12" s="192" t="n"/>
      <c r="Q12" s="192" t="n"/>
      <c r="R12" s="192" t="n"/>
      <c r="S12" s="192" t="n"/>
      <c r="T12" s="1" t="n"/>
      <c r="U12" s="1" t="n"/>
      <c r="V12" s="1" t="n"/>
      <c r="W12" s="1" t="n"/>
      <c r="X12" s="1" t="n"/>
      <c r="Y12" s="1" t="n"/>
    </row>
    <row r="13">
      <c r="A13" s="229" t="n"/>
      <c r="B13" s="232" t="n"/>
      <c r="C13" s="232" t="n"/>
      <c r="D13" s="238" t="n"/>
      <c r="E13" s="238" t="n"/>
      <c r="F13" s="225">
        <f>IF(A13="","",F12+D13-E13)</f>
        <v/>
      </c>
      <c r="G13" s="192" t="n"/>
      <c r="H13" s="192" t="n"/>
      <c r="I13" s="229" t="n"/>
      <c r="J13" s="232" t="n"/>
      <c r="K13" s="232" t="n"/>
      <c r="L13" s="238" t="n"/>
      <c r="M13" s="238" t="n"/>
      <c r="N13" s="225">
        <f>IF(I13="","",N12+L13-M13)</f>
        <v/>
      </c>
      <c r="O13" s="192" t="n"/>
      <c r="P13" s="192" t="n"/>
      <c r="Q13" s="192" t="n"/>
      <c r="R13" s="192" t="n"/>
      <c r="S13" s="192" t="n"/>
      <c r="T13" s="1" t="n"/>
      <c r="U13" s="1" t="n"/>
      <c r="V13" s="1" t="n"/>
      <c r="W13" s="1" t="n"/>
      <c r="X13" s="1" t="n"/>
      <c r="Y13" s="1" t="n"/>
    </row>
    <row r="14">
      <c r="A14" s="229" t="n"/>
      <c r="B14" s="232" t="n"/>
      <c r="C14" s="232" t="n"/>
      <c r="D14" s="238" t="n"/>
      <c r="E14" s="238" t="n"/>
      <c r="F14" s="225">
        <f>IF(A14="","",F13+D14-E14)</f>
        <v/>
      </c>
      <c r="G14" s="192" t="n"/>
      <c r="H14" s="192" t="n"/>
      <c r="I14" s="229" t="n"/>
      <c r="J14" s="232" t="n"/>
      <c r="K14" s="232" t="n"/>
      <c r="L14" s="238" t="n"/>
      <c r="M14" s="238" t="n"/>
      <c r="N14" s="225">
        <f>IF(I14="","",N13+L14-M14)</f>
        <v/>
      </c>
      <c r="O14" s="192" t="n"/>
      <c r="P14" s="192" t="n"/>
      <c r="Q14" s="192" t="n"/>
      <c r="R14" s="192" t="n"/>
      <c r="S14" s="192" t="n"/>
      <c r="T14" s="1" t="n"/>
      <c r="U14" s="1" t="n"/>
      <c r="V14" s="1" t="n"/>
      <c r="W14" s="1" t="n"/>
      <c r="X14" s="1" t="n"/>
      <c r="Y14" s="1" t="n"/>
    </row>
    <row r="15">
      <c r="A15" s="229" t="n"/>
      <c r="B15" s="232" t="n"/>
      <c r="C15" s="232" t="n"/>
      <c r="D15" s="238" t="n"/>
      <c r="E15" s="238" t="n"/>
      <c r="F15" s="225">
        <f>IF(A15="","",F14+D15-E15)</f>
        <v/>
      </c>
      <c r="G15" s="192" t="n"/>
      <c r="H15" s="192" t="n"/>
      <c r="I15" s="229" t="n"/>
      <c r="J15" s="232" t="n"/>
      <c r="K15" s="232" t="n"/>
      <c r="L15" s="238" t="n"/>
      <c r="M15" s="238" t="n"/>
      <c r="N15" s="225">
        <f>IF(I15="","",N14+L15-M15)</f>
        <v/>
      </c>
      <c r="O15" s="192" t="n"/>
      <c r="P15" s="192" t="n"/>
      <c r="Q15" s="192" t="n"/>
      <c r="R15" s="192" t="n"/>
      <c r="S15" s="192" t="n"/>
      <c r="T15" s="1" t="n"/>
      <c r="U15" s="1" t="n"/>
      <c r="V15" s="1" t="n"/>
      <c r="W15" s="1" t="n"/>
      <c r="X15" s="1" t="n"/>
      <c r="Y15" s="1" t="n"/>
    </row>
    <row r="16">
      <c r="A16" s="229" t="n"/>
      <c r="B16" s="232" t="n"/>
      <c r="C16" s="232" t="n"/>
      <c r="D16" s="238" t="n"/>
      <c r="E16" s="238" t="n"/>
      <c r="F16" s="225">
        <f>IF(A16="","",F15+D16-E16)</f>
        <v/>
      </c>
      <c r="G16" s="192" t="n"/>
      <c r="H16" s="192" t="n"/>
      <c r="I16" s="229" t="n"/>
      <c r="J16" s="232" t="n"/>
      <c r="K16" s="232" t="n"/>
      <c r="L16" s="238" t="n"/>
      <c r="M16" s="238" t="n"/>
      <c r="N16" s="225">
        <f>IF(I16="","",N15+L16-M16)</f>
        <v/>
      </c>
      <c r="O16" s="192" t="n"/>
      <c r="P16" s="192" t="n"/>
      <c r="Q16" s="192" t="n"/>
      <c r="R16" s="192" t="n"/>
      <c r="S16" s="192" t="n"/>
      <c r="T16" s="1" t="n"/>
      <c r="U16" s="1" t="n"/>
      <c r="V16" s="1" t="n"/>
      <c r="W16" s="1" t="n"/>
      <c r="X16" s="1" t="n"/>
      <c r="Y16" s="1" t="n"/>
    </row>
    <row r="17">
      <c r="A17" s="229" t="n"/>
      <c r="B17" s="232" t="n"/>
      <c r="C17" s="232" t="n"/>
      <c r="D17" s="238" t="n"/>
      <c r="E17" s="238" t="n"/>
      <c r="F17" s="225">
        <f>IF(A17="","",F16+D17-E17)</f>
        <v/>
      </c>
      <c r="G17" s="192" t="n"/>
      <c r="H17" s="192" t="n"/>
      <c r="I17" s="229" t="n"/>
      <c r="J17" s="232" t="n"/>
      <c r="K17" s="232" t="n"/>
      <c r="L17" s="238" t="n"/>
      <c r="M17" s="238" t="n"/>
      <c r="N17" s="225">
        <f>IF(I17="","",N16+L17-M17)</f>
        <v/>
      </c>
      <c r="O17" s="192" t="n"/>
      <c r="P17" s="192" t="n"/>
      <c r="Q17" s="192" t="n"/>
      <c r="R17" s="192" t="n"/>
      <c r="S17" s="192" t="n"/>
      <c r="T17" s="1" t="n"/>
      <c r="U17" s="1" t="n"/>
      <c r="V17" s="1" t="n"/>
      <c r="W17" s="1" t="n"/>
      <c r="X17" s="1" t="n"/>
      <c r="Y17" s="1" t="n"/>
    </row>
    <row r="18">
      <c r="A18" s="229" t="n"/>
      <c r="B18" s="232" t="n"/>
      <c r="C18" s="232" t="n"/>
      <c r="D18" s="238" t="n"/>
      <c r="E18" s="238" t="n"/>
      <c r="F18" s="225">
        <f>IF(A18="","",F17+D18-E18)</f>
        <v/>
      </c>
      <c r="G18" s="192" t="n"/>
      <c r="H18" s="192" t="n"/>
      <c r="I18" s="229" t="n"/>
      <c r="J18" s="232" t="n"/>
      <c r="K18" s="232" t="n"/>
      <c r="L18" s="238" t="n"/>
      <c r="M18" s="238" t="n"/>
      <c r="N18" s="225">
        <f>IF(I18="","",N17+L18-M18)</f>
        <v/>
      </c>
      <c r="O18" s="192" t="n"/>
      <c r="P18" s="192" t="n"/>
      <c r="Q18" s="192" t="n"/>
      <c r="R18" s="192" t="n"/>
      <c r="S18" s="192" t="n"/>
      <c r="T18" s="1" t="n"/>
      <c r="U18" s="1" t="n"/>
      <c r="V18" s="1" t="n"/>
      <c r="W18" s="1" t="n"/>
      <c r="X18" s="1" t="n"/>
      <c r="Y18" s="1" t="n"/>
    </row>
    <row r="19">
      <c r="A19" s="229" t="n"/>
      <c r="B19" s="232" t="n"/>
      <c r="C19" s="232" t="n"/>
      <c r="D19" s="238" t="n"/>
      <c r="E19" s="238" t="n"/>
      <c r="F19" s="225">
        <f>IF(A19="","",F18+D19-E19)</f>
        <v/>
      </c>
      <c r="G19" s="192" t="n"/>
      <c r="H19" s="192" t="n"/>
      <c r="I19" s="229" t="n"/>
      <c r="J19" s="232" t="n"/>
      <c r="K19" s="232" t="n"/>
      <c r="L19" s="238" t="n"/>
      <c r="M19" s="238" t="n"/>
      <c r="N19" s="225">
        <f>IF(I19="","",N18+L19-M19)</f>
        <v/>
      </c>
      <c r="O19" s="192" t="n"/>
      <c r="P19" s="192" t="n"/>
      <c r="Q19" s="192" t="n"/>
      <c r="R19" s="192" t="n"/>
      <c r="S19" s="192" t="n"/>
      <c r="T19" s="1" t="n"/>
      <c r="U19" s="1" t="n"/>
      <c r="V19" s="1" t="n"/>
      <c r="W19" s="1" t="n"/>
      <c r="X19" s="1" t="n"/>
      <c r="Y19" s="1" t="n"/>
    </row>
    <row r="20">
      <c r="A20" s="229" t="n"/>
      <c r="B20" s="232" t="n"/>
      <c r="C20" s="232" t="n"/>
      <c r="D20" s="238" t="n"/>
      <c r="E20" s="238" t="n"/>
      <c r="F20" s="225">
        <f>IF(A20="","",F19+D20-E20)</f>
        <v/>
      </c>
      <c r="G20" s="192" t="n"/>
      <c r="H20" s="192" t="n"/>
      <c r="I20" s="229" t="n"/>
      <c r="J20" s="232" t="n"/>
      <c r="K20" s="232" t="n"/>
      <c r="L20" s="238" t="n"/>
      <c r="M20" s="238" t="n"/>
      <c r="N20" s="225">
        <f>IF(I20="","",N19+L20-M20)</f>
        <v/>
      </c>
      <c r="O20" s="192" t="n"/>
      <c r="P20" s="192" t="n"/>
      <c r="Q20" s="192" t="n"/>
      <c r="R20" s="192" t="n"/>
      <c r="S20" s="192" t="n"/>
      <c r="T20" s="1" t="n"/>
      <c r="U20" s="1" t="n"/>
      <c r="V20" s="1" t="n"/>
      <c r="W20" s="1" t="n"/>
      <c r="X20" s="1" t="n"/>
      <c r="Y20" s="1" t="n"/>
    </row>
    <row r="21">
      <c r="A21" s="229" t="n"/>
      <c r="B21" s="232" t="n"/>
      <c r="C21" s="232" t="n"/>
      <c r="D21" s="238" t="n"/>
      <c r="E21" s="238" t="n"/>
      <c r="F21" s="225">
        <f>IF(A21="","",F20+D21-E21)</f>
        <v/>
      </c>
      <c r="G21" s="192" t="n"/>
      <c r="H21" s="192" t="n"/>
      <c r="I21" s="229" t="n"/>
      <c r="J21" s="232" t="n"/>
      <c r="K21" s="232" t="n"/>
      <c r="L21" s="238" t="n"/>
      <c r="M21" s="238" t="n"/>
      <c r="N21" s="225">
        <f>IF(I21="","",N20+L21-M21)</f>
        <v/>
      </c>
      <c r="O21" s="192" t="n"/>
      <c r="P21" s="192" t="n"/>
      <c r="Q21" s="192" t="n"/>
      <c r="R21" s="192" t="n"/>
      <c r="S21" s="192" t="n"/>
      <c r="T21" s="1" t="n"/>
      <c r="U21" s="1" t="n"/>
      <c r="V21" s="1" t="n"/>
      <c r="W21" s="1" t="n"/>
      <c r="X21" s="1" t="n"/>
      <c r="Y21" s="1" t="n"/>
    </row>
    <row r="22">
      <c r="A22" s="229" t="n"/>
      <c r="B22" s="232" t="n"/>
      <c r="C22" s="232" t="n"/>
      <c r="D22" s="238" t="n"/>
      <c r="E22" s="238" t="n"/>
      <c r="F22" s="225">
        <f>IF(A22="","",F21+D22-E22)</f>
        <v/>
      </c>
      <c r="G22" s="192" t="n"/>
      <c r="H22" s="192" t="n"/>
      <c r="I22" s="229" t="n"/>
      <c r="J22" s="232" t="n"/>
      <c r="K22" s="232" t="n"/>
      <c r="L22" s="238" t="n"/>
      <c r="M22" s="238" t="n"/>
      <c r="N22" s="225">
        <f>IF(I22="","",N21+L22-M22)</f>
        <v/>
      </c>
      <c r="O22" s="192" t="n"/>
      <c r="P22" s="192" t="n"/>
      <c r="Q22" s="192" t="n"/>
      <c r="R22" s="192" t="n"/>
      <c r="S22" s="192" t="n"/>
      <c r="T22" s="1" t="n"/>
      <c r="U22" s="1" t="n"/>
      <c r="V22" s="1" t="n"/>
      <c r="W22" s="1" t="n"/>
      <c r="X22" s="1" t="n"/>
      <c r="Y22" s="1" t="n"/>
    </row>
    <row r="23">
      <c r="A23" s="229" t="n"/>
      <c r="B23" s="232" t="n"/>
      <c r="C23" s="232" t="n"/>
      <c r="D23" s="238" t="n"/>
      <c r="E23" s="238" t="n"/>
      <c r="F23" s="225">
        <f>IF(A23="","",F22+D23-E23)</f>
        <v/>
      </c>
      <c r="G23" s="192" t="n"/>
      <c r="H23" s="192" t="n"/>
      <c r="I23" s="229" t="n"/>
      <c r="J23" s="232" t="n"/>
      <c r="K23" s="232" t="n"/>
      <c r="L23" s="238" t="n"/>
      <c r="M23" s="238" t="n"/>
      <c r="N23" s="225">
        <f>IF(I23="","",N22+L23-M23)</f>
        <v/>
      </c>
      <c r="O23" s="192" t="n"/>
      <c r="P23" s="192" t="n"/>
      <c r="Q23" s="192" t="n"/>
      <c r="R23" s="192" t="n"/>
      <c r="S23" s="192" t="n"/>
      <c r="T23" s="1" t="n"/>
      <c r="U23" s="1" t="n"/>
      <c r="V23" s="1" t="n"/>
      <c r="W23" s="1" t="n"/>
      <c r="X23" s="1" t="n"/>
      <c r="Y23" s="1" t="n"/>
    </row>
    <row r="24">
      <c r="A24" s="229" t="n"/>
      <c r="B24" s="232" t="n"/>
      <c r="C24" s="232" t="n"/>
      <c r="D24" s="238" t="n"/>
      <c r="E24" s="238" t="n"/>
      <c r="F24" s="225">
        <f>IF(A24="","",F23+D24-E24)</f>
        <v/>
      </c>
      <c r="G24" s="192" t="n"/>
      <c r="H24" s="192" t="n"/>
      <c r="I24" s="229" t="n"/>
      <c r="J24" s="232" t="n"/>
      <c r="K24" s="232" t="n"/>
      <c r="L24" s="238" t="n"/>
      <c r="M24" s="238" t="n"/>
      <c r="N24" s="225">
        <f>IF(I24="","",N23+L24-M24)</f>
        <v/>
      </c>
      <c r="O24" s="192" t="n"/>
      <c r="P24" s="192" t="n"/>
      <c r="Q24" s="192" t="n"/>
      <c r="R24" s="192" t="n"/>
      <c r="S24" s="192" t="n"/>
      <c r="T24" s="1" t="n"/>
      <c r="U24" s="1" t="n"/>
      <c r="V24" s="1" t="n"/>
      <c r="W24" s="1" t="n"/>
      <c r="X24" s="1" t="n"/>
      <c r="Y24" s="1" t="n"/>
    </row>
    <row r="25">
      <c r="A25" s="229" t="n"/>
      <c r="B25" s="232" t="n"/>
      <c r="C25" s="232" t="n"/>
      <c r="D25" s="238" t="n"/>
      <c r="E25" s="238" t="n"/>
      <c r="F25" s="225">
        <f>IF(A25="","",F24+D25-E25)</f>
        <v/>
      </c>
      <c r="G25" s="192" t="n"/>
      <c r="H25" s="192" t="n"/>
      <c r="I25" s="229" t="n"/>
      <c r="J25" s="232" t="n"/>
      <c r="K25" s="232" t="n"/>
      <c r="L25" s="238" t="n"/>
      <c r="M25" s="238" t="n"/>
      <c r="N25" s="225">
        <f>IF(I25="","",N24+L25-M25)</f>
        <v/>
      </c>
      <c r="O25" s="192" t="n"/>
      <c r="P25" s="192" t="n"/>
      <c r="Q25" s="192" t="n"/>
      <c r="R25" s="192" t="n"/>
      <c r="S25" s="192" t="n"/>
      <c r="T25" s="1" t="n"/>
      <c r="U25" s="1" t="n"/>
      <c r="V25" s="1" t="n"/>
      <c r="W25" s="1" t="n"/>
      <c r="X25" s="1" t="n"/>
      <c r="Y25" s="1" t="n"/>
    </row>
    <row r="26">
      <c r="A26" s="229" t="n"/>
      <c r="B26" s="232" t="n"/>
      <c r="C26" s="232" t="n"/>
      <c r="D26" s="238" t="n"/>
      <c r="E26" s="238" t="n"/>
      <c r="F26" s="225">
        <f>IF(A26="","",F25+D26-E26)</f>
        <v/>
      </c>
      <c r="G26" s="192" t="n"/>
      <c r="H26" s="192" t="n"/>
      <c r="I26" s="229" t="n"/>
      <c r="J26" s="232" t="n"/>
      <c r="K26" s="232" t="n"/>
      <c r="L26" s="238" t="n"/>
      <c r="M26" s="238" t="n"/>
      <c r="N26" s="225">
        <f>IF(I26="","",N25+L26-M26)</f>
        <v/>
      </c>
      <c r="O26" s="192" t="n"/>
      <c r="P26" s="192" t="n"/>
      <c r="Q26" s="192" t="n"/>
      <c r="R26" s="192" t="n"/>
      <c r="S26" s="192" t="n"/>
      <c r="T26" s="1" t="n"/>
      <c r="U26" s="1" t="n"/>
      <c r="V26" s="1" t="n"/>
      <c r="W26" s="1" t="n"/>
      <c r="X26" s="1" t="n"/>
      <c r="Y26" s="1" t="n"/>
    </row>
    <row r="27">
      <c r="A27" s="229" t="n"/>
      <c r="B27" s="232" t="n"/>
      <c r="C27" s="232" t="n"/>
      <c r="D27" s="238" t="n"/>
      <c r="E27" s="238" t="n"/>
      <c r="F27" s="225">
        <f>IF(A27="","",F26+D27-E27)</f>
        <v/>
      </c>
      <c r="G27" s="192" t="n"/>
      <c r="H27" s="192" t="n"/>
      <c r="I27" s="229" t="n"/>
      <c r="J27" s="232" t="n"/>
      <c r="K27" s="232" t="n"/>
      <c r="L27" s="238" t="n"/>
      <c r="M27" s="238" t="n"/>
      <c r="N27" s="225">
        <f>IF(I27="","",N26+L27-M27)</f>
        <v/>
      </c>
      <c r="O27" s="192" t="n"/>
      <c r="P27" s="192" t="n"/>
      <c r="Q27" s="192" t="n"/>
      <c r="R27" s="192" t="n"/>
      <c r="S27" s="192" t="n"/>
      <c r="T27" s="1" t="n"/>
      <c r="U27" s="1" t="n"/>
      <c r="V27" s="1" t="n"/>
      <c r="W27" s="1" t="n"/>
      <c r="X27" s="1" t="n"/>
      <c r="Y27" s="1" t="n"/>
    </row>
    <row r="28">
      <c r="A28" s="229" t="n"/>
      <c r="B28" s="232" t="n"/>
      <c r="C28" s="232" t="n"/>
      <c r="D28" s="238" t="n"/>
      <c r="E28" s="238" t="n"/>
      <c r="F28" s="225">
        <f>IF(A28="","",F27+D28-E28)</f>
        <v/>
      </c>
      <c r="G28" s="192" t="n"/>
      <c r="H28" s="192" t="n"/>
      <c r="I28" s="229" t="n"/>
      <c r="J28" s="232" t="n"/>
      <c r="K28" s="232" t="n"/>
      <c r="L28" s="238" t="n"/>
      <c r="M28" s="238" t="n"/>
      <c r="N28" s="225">
        <f>IF(I28="","",N27+L28-M28)</f>
        <v/>
      </c>
      <c r="O28" s="192" t="n"/>
      <c r="P28" s="192" t="n"/>
      <c r="Q28" s="192" t="n"/>
      <c r="R28" s="192" t="n"/>
      <c r="S28" s="192" t="n"/>
      <c r="T28" s="1" t="n"/>
      <c r="U28" s="1" t="n"/>
      <c r="V28" s="1" t="n"/>
      <c r="W28" s="1" t="n"/>
      <c r="X28" s="1" t="n"/>
      <c r="Y28" s="1" t="n"/>
    </row>
    <row r="29">
      <c r="A29" s="229" t="n"/>
      <c r="B29" s="232" t="n"/>
      <c r="C29" s="232" t="n"/>
      <c r="D29" s="238" t="n"/>
      <c r="E29" s="238" t="n"/>
      <c r="F29" s="225">
        <f>IF(A29="","",F28+D29-E29)</f>
        <v/>
      </c>
      <c r="G29" s="192" t="n"/>
      <c r="H29" s="192" t="n"/>
      <c r="I29" s="229" t="n"/>
      <c r="J29" s="232" t="n"/>
      <c r="K29" s="232" t="n"/>
      <c r="L29" s="238" t="n"/>
      <c r="M29" s="238" t="n"/>
      <c r="N29" s="225">
        <f>IF(I29="","",N28+L29-M29)</f>
        <v/>
      </c>
      <c r="O29" s="192" t="n"/>
      <c r="P29" s="192" t="n"/>
      <c r="Q29" s="192" t="n"/>
      <c r="R29" s="192" t="n"/>
      <c r="S29" s="192" t="n"/>
      <c r="T29" s="1" t="n"/>
      <c r="U29" s="1" t="n"/>
      <c r="V29" s="1" t="n"/>
      <c r="W29" s="1" t="n"/>
      <c r="X29" s="1" t="n"/>
      <c r="Y29" s="1" t="n"/>
    </row>
    <row r="30">
      <c r="A30" s="229" t="n"/>
      <c r="B30" s="232" t="n"/>
      <c r="C30" s="232" t="n"/>
      <c r="D30" s="238" t="n"/>
      <c r="E30" s="238" t="n"/>
      <c r="F30" s="225">
        <f>IF(A30="","",F29+D30-E30)</f>
        <v/>
      </c>
      <c r="G30" s="192" t="n"/>
      <c r="H30" s="192" t="n"/>
      <c r="I30" s="229" t="n"/>
      <c r="J30" s="232" t="n"/>
      <c r="K30" s="232" t="n"/>
      <c r="L30" s="238" t="n"/>
      <c r="M30" s="238" t="n"/>
      <c r="N30" s="225">
        <f>IF(I30="","",N29+L30-M30)</f>
        <v/>
      </c>
      <c r="O30" s="192" t="n"/>
      <c r="P30" s="192" t="n"/>
      <c r="Q30" s="192" t="n"/>
      <c r="R30" s="192" t="n"/>
      <c r="S30" s="192" t="n"/>
      <c r="T30" s="1" t="n"/>
      <c r="U30" s="1" t="n"/>
      <c r="V30" s="1" t="n"/>
      <c r="W30" s="1" t="n"/>
      <c r="X30" s="1" t="n"/>
      <c r="Y30" s="1" t="n"/>
    </row>
    <row r="31">
      <c r="A31" s="229" t="n"/>
      <c r="B31" s="232" t="n"/>
      <c r="C31" s="232" t="n"/>
      <c r="D31" s="238" t="n"/>
      <c r="E31" s="238" t="n"/>
      <c r="F31" s="225">
        <f>IF(A31="","",F30+D31-E31)</f>
        <v/>
      </c>
      <c r="G31" s="192" t="n"/>
      <c r="H31" s="192" t="n"/>
      <c r="I31" s="229" t="n"/>
      <c r="J31" s="232" t="n"/>
      <c r="K31" s="232" t="n"/>
      <c r="L31" s="238" t="n"/>
      <c r="M31" s="238" t="n"/>
      <c r="N31" s="225">
        <f>IF(I31="","",N30+L31-M31)</f>
        <v/>
      </c>
      <c r="O31" s="192" t="n"/>
      <c r="P31" s="192" t="n"/>
      <c r="Q31" s="192" t="n"/>
      <c r="R31" s="192" t="n"/>
      <c r="S31" s="192" t="n"/>
      <c r="T31" s="1" t="n"/>
      <c r="U31" s="1" t="n"/>
      <c r="V31" s="1" t="n"/>
      <c r="W31" s="1" t="n"/>
      <c r="X31" s="1" t="n"/>
      <c r="Y31" s="1" t="n"/>
    </row>
    <row r="32">
      <c r="A32" s="229" t="n"/>
      <c r="B32" s="232" t="n"/>
      <c r="C32" s="232" t="n"/>
      <c r="D32" s="238" t="n"/>
      <c r="E32" s="238" t="n"/>
      <c r="F32" s="225">
        <f>IF(A32="","",F31+D32-E32)</f>
        <v/>
      </c>
      <c r="G32" s="192" t="n"/>
      <c r="H32" s="192" t="n"/>
      <c r="I32" s="229" t="n"/>
      <c r="J32" s="232" t="n"/>
      <c r="K32" s="232" t="n"/>
      <c r="L32" s="238" t="n"/>
      <c r="M32" s="238" t="n"/>
      <c r="N32" s="225">
        <f>IF(I32="","",N31+L32-M32)</f>
        <v/>
      </c>
      <c r="O32" s="192" t="n"/>
      <c r="P32" s="192" t="n"/>
      <c r="Q32" s="192" t="n"/>
      <c r="R32" s="192" t="n"/>
      <c r="S32" s="192" t="n"/>
      <c r="T32" s="1" t="n"/>
      <c r="U32" s="1" t="n"/>
      <c r="V32" s="1" t="n"/>
      <c r="W32" s="1" t="n"/>
      <c r="X32" s="1" t="n"/>
      <c r="Y32" s="1" t="n"/>
    </row>
    <row r="33">
      <c r="A33" s="229" t="n"/>
      <c r="B33" s="232" t="n"/>
      <c r="C33" s="232" t="n"/>
      <c r="D33" s="238" t="n"/>
      <c r="E33" s="238" t="n"/>
      <c r="F33" s="225">
        <f>IF(A33="","",F32+D33-E33)</f>
        <v/>
      </c>
      <c r="G33" s="192" t="n"/>
      <c r="H33" s="192" t="n"/>
      <c r="I33" s="229" t="n"/>
      <c r="J33" s="232" t="n"/>
      <c r="K33" s="232" t="n"/>
      <c r="L33" s="238" t="n"/>
      <c r="M33" s="238" t="n"/>
      <c r="N33" s="225">
        <f>IF(I33="","",N32+L33-M33)</f>
        <v/>
      </c>
      <c r="O33" s="192" t="n"/>
      <c r="P33" s="192" t="n"/>
      <c r="Q33" s="192" t="n"/>
      <c r="R33" s="192" t="n"/>
      <c r="S33" s="192" t="n"/>
      <c r="T33" s="1" t="n"/>
      <c r="U33" s="1" t="n"/>
      <c r="V33" s="1" t="n"/>
      <c r="W33" s="1" t="n"/>
      <c r="X33" s="1" t="n"/>
      <c r="Y33" s="1" t="n"/>
    </row>
    <row r="34">
      <c r="A34" s="229" t="n"/>
      <c r="B34" s="232" t="n"/>
      <c r="C34" s="232" t="n"/>
      <c r="D34" s="238" t="n"/>
      <c r="E34" s="238" t="n"/>
      <c r="F34" s="225">
        <f>IF(A34="","",F33+D34-E34)</f>
        <v/>
      </c>
      <c r="G34" s="192" t="n"/>
      <c r="H34" s="192" t="n"/>
      <c r="I34" s="229" t="n"/>
      <c r="J34" s="232" t="n"/>
      <c r="K34" s="232" t="n"/>
      <c r="L34" s="238" t="n"/>
      <c r="M34" s="238" t="n"/>
      <c r="N34" s="225">
        <f>IF(I34="","",N33+L34-M34)</f>
        <v/>
      </c>
      <c r="O34" s="192" t="n"/>
      <c r="P34" s="192" t="n"/>
      <c r="Q34" s="192" t="n"/>
      <c r="R34" s="192" t="n"/>
      <c r="S34" s="192" t="n"/>
      <c r="T34" s="1" t="n"/>
      <c r="U34" s="1" t="n"/>
      <c r="V34" s="1" t="n"/>
      <c r="W34" s="1" t="n"/>
      <c r="X34" s="1" t="n"/>
      <c r="Y34" s="1" t="n"/>
    </row>
    <row r="35">
      <c r="A35" s="229" t="n"/>
      <c r="B35" s="232" t="n"/>
      <c r="C35" s="232" t="n"/>
      <c r="D35" s="238" t="n"/>
      <c r="E35" s="238" t="n"/>
      <c r="F35" s="225">
        <f>IF(A35="","",F34+D35-E35)</f>
        <v/>
      </c>
      <c r="G35" s="192" t="n"/>
      <c r="H35" s="192" t="n"/>
      <c r="I35" s="229" t="n"/>
      <c r="J35" s="232" t="n"/>
      <c r="K35" s="232" t="n"/>
      <c r="L35" s="238" t="n"/>
      <c r="M35" s="238" t="n"/>
      <c r="N35" s="225">
        <f>IF(I35="","",N34+L35-M35)</f>
        <v/>
      </c>
      <c r="O35" s="192" t="n"/>
      <c r="P35" s="192" t="n"/>
      <c r="Q35" s="192" t="n"/>
      <c r="R35" s="192" t="n"/>
      <c r="S35" s="192" t="n"/>
      <c r="T35" s="1" t="n"/>
      <c r="U35" s="1" t="n"/>
      <c r="V35" s="1" t="n"/>
      <c r="W35" s="1" t="n"/>
      <c r="X35" s="1" t="n"/>
      <c r="Y35" s="1" t="n"/>
    </row>
    <row r="36">
      <c r="A36" s="229" t="n"/>
      <c r="B36" s="232" t="n"/>
      <c r="C36" s="232" t="n"/>
      <c r="D36" s="238" t="n"/>
      <c r="E36" s="238" t="n"/>
      <c r="F36" s="225">
        <f>IF(A36="","",F35+D36-E36)</f>
        <v/>
      </c>
      <c r="G36" s="192" t="n"/>
      <c r="H36" s="192" t="n"/>
      <c r="I36" s="229" t="n"/>
      <c r="J36" s="232" t="n"/>
      <c r="K36" s="232" t="n"/>
      <c r="L36" s="238" t="n"/>
      <c r="M36" s="238" t="n"/>
      <c r="N36" s="225">
        <f>IF(I36="","",N35+L36-M36)</f>
        <v/>
      </c>
      <c r="O36" s="192" t="n"/>
      <c r="P36" s="192" t="n"/>
      <c r="Q36" s="192" t="n"/>
      <c r="R36" s="192" t="n"/>
      <c r="S36" s="192" t="n"/>
      <c r="T36" s="1" t="n"/>
      <c r="U36" s="1" t="n"/>
      <c r="V36" s="1" t="n"/>
      <c r="W36" s="1" t="n"/>
      <c r="X36" s="1" t="n"/>
      <c r="Y36" s="1" t="n"/>
    </row>
    <row r="37">
      <c r="A37" s="229" t="n"/>
      <c r="B37" s="232" t="n"/>
      <c r="C37" s="232" t="n"/>
      <c r="D37" s="238" t="n"/>
      <c r="E37" s="238" t="n"/>
      <c r="F37" s="225">
        <f>IF(A37="","",F36+D37-E37)</f>
        <v/>
      </c>
      <c r="G37" s="192" t="n"/>
      <c r="H37" s="192" t="n"/>
      <c r="I37" s="229" t="n"/>
      <c r="J37" s="232" t="n"/>
      <c r="K37" s="232" t="n"/>
      <c r="L37" s="238" t="n"/>
      <c r="M37" s="238" t="n"/>
      <c r="N37" s="225">
        <f>IF(I37="","",N36+L37-M37)</f>
        <v/>
      </c>
      <c r="O37" s="192" t="n"/>
      <c r="P37" s="192" t="n"/>
      <c r="Q37" s="192" t="n"/>
      <c r="R37" s="192" t="n"/>
      <c r="S37" s="192" t="n"/>
      <c r="T37" s="1" t="n"/>
      <c r="U37" s="1" t="n"/>
      <c r="V37" s="1" t="n"/>
      <c r="W37" s="1" t="n"/>
      <c r="X37" s="1" t="n"/>
      <c r="Y37" s="1" t="n"/>
    </row>
    <row r="38">
      <c r="A38" s="229" t="n"/>
      <c r="B38" s="232" t="n"/>
      <c r="C38" s="232" t="n"/>
      <c r="D38" s="238" t="n"/>
      <c r="E38" s="238" t="n"/>
      <c r="F38" s="225">
        <f>IF(A38="","",F37+D38-E38)</f>
        <v/>
      </c>
      <c r="G38" s="192" t="n"/>
      <c r="H38" s="192" t="n"/>
      <c r="I38" s="229" t="n"/>
      <c r="J38" s="232" t="n"/>
      <c r="K38" s="232" t="n"/>
      <c r="L38" s="238" t="n"/>
      <c r="M38" s="238" t="n"/>
      <c r="N38" s="225">
        <f>IF(I38="","",N37+L38-M38)</f>
        <v/>
      </c>
      <c r="O38" s="192" t="n"/>
      <c r="P38" s="192" t="n"/>
      <c r="Q38" s="192" t="n"/>
      <c r="R38" s="192" t="n"/>
      <c r="S38" s="192" t="n"/>
      <c r="T38" s="1" t="n"/>
      <c r="U38" s="1" t="n"/>
      <c r="V38" s="1" t="n"/>
      <c r="W38" s="1" t="n"/>
      <c r="X38" s="1" t="n"/>
      <c r="Y38" s="1" t="n"/>
    </row>
    <row r="39">
      <c r="A39" s="229" t="n"/>
      <c r="B39" s="232" t="n"/>
      <c r="C39" s="232" t="n"/>
      <c r="D39" s="238" t="n"/>
      <c r="E39" s="238" t="n"/>
      <c r="F39" s="225">
        <f>IF(A39="","",F38+D39-E39)</f>
        <v/>
      </c>
      <c r="G39" s="192" t="n"/>
      <c r="H39" s="192" t="n"/>
      <c r="I39" s="229" t="n"/>
      <c r="J39" s="232" t="n"/>
      <c r="K39" s="232" t="n"/>
      <c r="L39" s="238" t="n"/>
      <c r="M39" s="238" t="n"/>
      <c r="N39" s="225">
        <f>IF(I39="","",N38+L39-M39)</f>
        <v/>
      </c>
      <c r="O39" s="192" t="n"/>
      <c r="P39" s="192" t="n"/>
      <c r="Q39" s="192" t="n"/>
      <c r="R39" s="192" t="n"/>
      <c r="S39" s="192" t="n"/>
      <c r="T39" s="1" t="n"/>
      <c r="U39" s="1" t="n"/>
      <c r="V39" s="1" t="n"/>
      <c r="W39" s="1" t="n"/>
      <c r="X39" s="1" t="n"/>
      <c r="Y39" s="1" t="n"/>
    </row>
    <row r="40">
      <c r="A40" s="229" t="n"/>
      <c r="B40" s="232" t="n"/>
      <c r="C40" s="232" t="n"/>
      <c r="D40" s="238" t="n"/>
      <c r="E40" s="238" t="n"/>
      <c r="F40" s="225">
        <f>IF(A40="","",F39+D40-E40)</f>
        <v/>
      </c>
      <c r="G40" s="192" t="n"/>
      <c r="H40" s="221" t="n"/>
      <c r="I40" s="244" t="n"/>
      <c r="J40" s="245" t="n"/>
      <c r="K40" s="245" t="n"/>
      <c r="L40" s="223" t="n"/>
      <c r="M40" s="223" t="n"/>
      <c r="N40" s="225">
        <f>IF(I40="","",N39+L40-M40)</f>
        <v/>
      </c>
      <c r="O40" s="192" t="n"/>
      <c r="P40" s="192" t="n"/>
      <c r="Q40" s="192" t="n"/>
      <c r="R40" s="192" t="n"/>
      <c r="S40" s="192" t="n"/>
      <c r="T40" s="1" t="n"/>
      <c r="U40" s="1" t="n"/>
      <c r="V40" s="1" t="n"/>
      <c r="W40" s="1" t="n"/>
      <c r="X40" s="1" t="n"/>
      <c r="Y40" s="1" t="n"/>
    </row>
    <row r="41">
      <c r="A41" s="229" t="n"/>
      <c r="B41" s="232" t="n"/>
      <c r="C41" s="232" t="n"/>
      <c r="D41" s="238" t="n"/>
      <c r="E41" s="238" t="n"/>
      <c r="F41" s="225">
        <f>IF(A41="","",F40+D41-E41)</f>
        <v/>
      </c>
      <c r="G41" s="192" t="n"/>
      <c r="H41" s="221" t="n"/>
      <c r="I41" s="244" t="n"/>
      <c r="J41" s="245" t="n"/>
      <c r="K41" s="245" t="n"/>
      <c r="L41" s="223" t="n"/>
      <c r="M41" s="223" t="n"/>
      <c r="N41" s="225">
        <f>IF(I41="","",N40+L41-M41)</f>
        <v/>
      </c>
      <c r="O41" s="192" t="n"/>
      <c r="P41" s="192" t="n"/>
      <c r="Q41" s="192" t="n"/>
      <c r="R41" s="192" t="n"/>
      <c r="S41" s="192" t="n"/>
      <c r="T41" s="1" t="n"/>
      <c r="U41" s="1" t="n"/>
      <c r="V41" s="1" t="n"/>
      <c r="W41" s="1" t="n"/>
      <c r="X41" s="1" t="n"/>
      <c r="Y41" s="1" t="n"/>
    </row>
    <row r="42">
      <c r="A42" s="229" t="n"/>
      <c r="B42" s="232" t="n"/>
      <c r="C42" s="232" t="n"/>
      <c r="D42" s="238" t="n"/>
      <c r="E42" s="238" t="n"/>
      <c r="F42" s="225">
        <f>IF(A42="","",F41+D42-E42)</f>
        <v/>
      </c>
      <c r="G42" s="192" t="n"/>
      <c r="H42" s="221" t="n"/>
      <c r="I42" s="244" t="n"/>
      <c r="J42" s="245" t="n"/>
      <c r="K42" s="245" t="n"/>
      <c r="L42" s="223" t="n"/>
      <c r="M42" s="223" t="n"/>
      <c r="N42" s="225">
        <f>IF(I42="","",N41+L42-M42)</f>
        <v/>
      </c>
      <c r="O42" s="192" t="n"/>
      <c r="P42" s="192" t="n"/>
      <c r="Q42" s="192" t="n"/>
      <c r="R42" s="192" t="n"/>
      <c r="S42" s="192" t="n"/>
      <c r="T42" s="1" t="n"/>
      <c r="U42" s="1" t="n"/>
      <c r="V42" s="1" t="n"/>
      <c r="W42" s="1" t="n"/>
      <c r="X42" s="1" t="n"/>
      <c r="Y42" s="1" t="n"/>
    </row>
    <row r="43">
      <c r="A43" s="229" t="n"/>
      <c r="B43" s="232" t="n"/>
      <c r="C43" s="232" t="n"/>
      <c r="D43" s="238" t="n"/>
      <c r="E43" s="238" t="n"/>
      <c r="F43" s="225">
        <f>IF(A43="","",F42+D43-E43)</f>
        <v/>
      </c>
      <c r="G43" s="192" t="n"/>
      <c r="H43" s="221" t="n"/>
      <c r="I43" s="244" t="n"/>
      <c r="J43" s="245" t="n"/>
      <c r="K43" s="245" t="n"/>
      <c r="L43" s="223" t="n"/>
      <c r="M43" s="223" t="n"/>
      <c r="N43" s="225">
        <f>IF(I43="","",N42+L43-M43)</f>
        <v/>
      </c>
      <c r="O43" s="192" t="n"/>
      <c r="P43" s="192" t="n"/>
      <c r="Q43" s="192" t="n"/>
      <c r="R43" s="192" t="n"/>
      <c r="S43" s="192" t="n"/>
      <c r="T43" s="1" t="n"/>
      <c r="U43" s="1" t="n"/>
      <c r="V43" s="1" t="n"/>
      <c r="W43" s="1" t="n"/>
      <c r="X43" s="1" t="n"/>
      <c r="Y43" s="1" t="n"/>
    </row>
    <row r="44">
      <c r="A44" s="229" t="n"/>
      <c r="B44" s="232" t="n"/>
      <c r="C44" s="232" t="n"/>
      <c r="D44" s="238" t="n"/>
      <c r="E44" s="238" t="n"/>
      <c r="F44" s="225">
        <f>IF(A44="","",F43+D44-E44)</f>
        <v/>
      </c>
      <c r="G44" s="192" t="n"/>
      <c r="H44" s="221" t="n"/>
      <c r="I44" s="244" t="n"/>
      <c r="J44" s="245" t="n"/>
      <c r="K44" s="245" t="n"/>
      <c r="L44" s="223" t="n"/>
      <c r="M44" s="223" t="n"/>
      <c r="N44" s="225">
        <f>IF(I44="","",N43+L44-M44)</f>
        <v/>
      </c>
      <c r="O44" s="192" t="n"/>
      <c r="P44" s="192" t="n"/>
      <c r="Q44" s="192" t="n"/>
      <c r="R44" s="192" t="n"/>
      <c r="S44" s="192" t="n"/>
      <c r="T44" s="1" t="n"/>
      <c r="U44" s="1" t="n"/>
      <c r="V44" s="1" t="n"/>
      <c r="W44" s="1" t="n"/>
      <c r="X44" s="1" t="n"/>
      <c r="Y44" s="1" t="n"/>
    </row>
    <row r="45">
      <c r="A45" s="192" t="n"/>
      <c r="B45" s="192" t="n"/>
      <c r="C45" s="192" t="n"/>
      <c r="D45" s="192" t="n"/>
      <c r="E45" s="192" t="n"/>
      <c r="F45" s="192" t="n"/>
      <c r="G45" s="192" t="n"/>
      <c r="H45" s="221" t="n"/>
      <c r="I45" s="221" t="n"/>
      <c r="J45" s="221" t="n"/>
      <c r="K45" s="221" t="n"/>
      <c r="L45" s="221" t="n"/>
      <c r="M45" s="221" t="n"/>
      <c r="N45" s="192" t="n"/>
      <c r="O45" s="192" t="n"/>
      <c r="P45" s="192" t="n"/>
      <c r="Q45" s="192" t="n"/>
      <c r="R45" s="192" t="n"/>
      <c r="S45" s="192" t="n"/>
      <c r="T45" s="1" t="n"/>
      <c r="U45" s="1" t="n"/>
      <c r="V45" s="1" t="n"/>
      <c r="W45" s="1" t="n"/>
      <c r="X45" s="1" t="n"/>
      <c r="Y45" s="1" t="n"/>
    </row>
    <row r="46">
      <c r="A46" s="192" t="n"/>
      <c r="B46" s="192" t="n"/>
      <c r="C46" s="192" t="n"/>
      <c r="D46" s="192" t="n"/>
      <c r="E46" s="192" t="n"/>
      <c r="F46" s="192" t="n"/>
      <c r="G46" s="192" t="n"/>
      <c r="H46" s="221" t="n"/>
      <c r="I46" s="221" t="n"/>
      <c r="J46" s="221" t="n"/>
      <c r="K46" s="221" t="n"/>
      <c r="L46" s="221" t="n"/>
      <c r="M46" s="221" t="n"/>
      <c r="N46" s="192" t="n"/>
      <c r="O46" s="192" t="n"/>
      <c r="P46" s="192" t="n"/>
      <c r="Q46" s="192" t="n"/>
      <c r="R46" s="192" t="n"/>
      <c r="S46" s="192" t="n"/>
      <c r="T46" s="1" t="n"/>
      <c r="U46" s="1" t="n"/>
      <c r="V46" s="1" t="n"/>
      <c r="W46" s="1" t="n"/>
      <c r="X46" s="1" t="n"/>
      <c r="Y46" s="1" t="n"/>
    </row>
    <row r="47">
      <c r="A47" s="192" t="n"/>
      <c r="B47" s="192" t="n"/>
      <c r="C47" s="192" t="n"/>
      <c r="D47" s="192" t="n"/>
      <c r="E47" s="192" t="n"/>
      <c r="F47" s="192" t="n"/>
      <c r="G47" s="192" t="n"/>
      <c r="H47" s="221" t="n"/>
      <c r="I47" s="221" t="n"/>
      <c r="J47" s="221" t="n"/>
      <c r="K47" s="221" t="n"/>
      <c r="L47" s="221" t="n"/>
      <c r="M47" s="221" t="n"/>
      <c r="N47" s="192" t="n"/>
      <c r="O47" s="192" t="n"/>
      <c r="P47" s="192" t="n"/>
      <c r="Q47" s="192" t="n"/>
      <c r="R47" s="192" t="n"/>
      <c r="S47" s="192" t="n"/>
      <c r="T47" s="1" t="n"/>
      <c r="U47" s="1" t="n"/>
      <c r="V47" s="1" t="n"/>
      <c r="W47" s="1" t="n"/>
      <c r="X47" s="1" t="n"/>
      <c r="Y47" s="1" t="n"/>
    </row>
    <row r="48">
      <c r="A48" s="192" t="n"/>
      <c r="B48" s="192" t="n"/>
      <c r="C48" s="192" t="n"/>
      <c r="D48" s="192" t="n"/>
      <c r="E48" s="192" t="n"/>
      <c r="F48" s="192" t="n"/>
      <c r="G48" s="192" t="n"/>
      <c r="H48" s="221" t="n"/>
      <c r="I48" s="246" t="n"/>
      <c r="J48" s="221" t="n"/>
      <c r="K48" s="221" t="n"/>
      <c r="L48" s="221" t="n"/>
      <c r="M48" s="221" t="n"/>
      <c r="N48" s="214" t="n"/>
      <c r="O48" s="192" t="n"/>
      <c r="P48" s="192" t="n"/>
      <c r="Q48" s="192" t="n"/>
      <c r="R48" s="192" t="n"/>
      <c r="S48" s="192" t="n"/>
      <c r="T48" s="1" t="n"/>
      <c r="U48" s="1" t="n"/>
      <c r="V48" s="1" t="n"/>
      <c r="W48" s="1" t="n"/>
      <c r="X48" s="1" t="n"/>
      <c r="Y48" s="1" t="n"/>
    </row>
    <row r="49">
      <c r="A49" s="192" t="n"/>
      <c r="B49" s="192" t="n"/>
      <c r="C49" s="192" t="n"/>
      <c r="D49" s="192" t="n"/>
      <c r="E49" s="192" t="n"/>
      <c r="F49" s="192" t="n"/>
      <c r="G49" s="192" t="n"/>
      <c r="H49" s="221" t="n"/>
      <c r="I49" s="221" t="n"/>
      <c r="J49" s="221" t="n"/>
      <c r="K49" s="221" t="n"/>
      <c r="L49" s="221" t="n"/>
      <c r="M49" s="221" t="n"/>
      <c r="N49" s="214" t="n"/>
      <c r="O49" s="192" t="n"/>
      <c r="P49" s="192" t="n"/>
      <c r="Q49" s="192" t="n"/>
      <c r="R49" s="192" t="n"/>
      <c r="S49" s="192" t="n"/>
      <c r="T49" s="1" t="n"/>
      <c r="U49" s="1" t="n"/>
      <c r="V49" s="1" t="n"/>
      <c r="W49" s="1" t="n"/>
      <c r="X49" s="1" t="n"/>
      <c r="Y49" s="1" t="n"/>
    </row>
    <row r="50" ht="10" customHeight="1" s="22">
      <c r="A50" s="192" t="n"/>
      <c r="B50" s="192" t="n"/>
      <c r="C50" s="192" t="n"/>
      <c r="D50" s="192" t="n"/>
      <c r="E50" s="192" t="n"/>
      <c r="F50" s="192" t="n"/>
      <c r="G50" s="192" t="n"/>
      <c r="H50" s="221" t="n"/>
      <c r="I50" s="221" t="n"/>
      <c r="J50" s="221" t="n"/>
      <c r="K50" s="221" t="n"/>
      <c r="L50" s="221" t="n"/>
      <c r="M50" s="221" t="n"/>
      <c r="N50" s="192" t="n"/>
      <c r="O50" s="192" t="n"/>
      <c r="P50" s="192" t="n"/>
      <c r="Q50" s="192" t="n"/>
      <c r="R50" s="192" t="n"/>
      <c r="S50" s="192" t="n"/>
      <c r="T50" s="1" t="n"/>
      <c r="U50" s="1" t="n"/>
      <c r="V50" s="1" t="n"/>
      <c r="W50" s="1" t="n"/>
      <c r="X50" s="1" t="n"/>
      <c r="Y50" s="1" t="n"/>
    </row>
    <row r="51" ht="20" customHeight="1" s="22">
      <c r="A51" s="192" t="n"/>
      <c r="B51" s="192" t="n"/>
      <c r="C51" s="192" t="n"/>
      <c r="D51" s="192" t="n"/>
      <c r="E51" s="192" t="n"/>
      <c r="F51" s="192" t="n"/>
      <c r="G51" s="192" t="n"/>
      <c r="H51" s="221" t="n"/>
      <c r="I51" s="247" t="inlineStr">
        <is>
          <t>RESUMEN DE CONCILIACION</t>
        </is>
      </c>
      <c r="J51" s="214" t="n"/>
      <c r="K51" s="214" t="n"/>
      <c r="L51" s="214" t="n"/>
      <c r="M51" s="214" t="n"/>
      <c r="N51" s="192" t="n"/>
      <c r="O51" s="192" t="n"/>
      <c r="P51" s="192" t="n"/>
      <c r="Q51" s="192" t="n"/>
      <c r="R51" s="192" t="n"/>
      <c r="S51" s="192" t="n"/>
      <c r="T51" s="1" t="n"/>
      <c r="U51" s="1" t="n"/>
      <c r="V51" s="1" t="n"/>
      <c r="W51" s="1" t="n"/>
      <c r="X51" s="1" t="n"/>
      <c r="Y51" s="1" t="n"/>
    </row>
    <row r="52" ht="20" customHeight="1" s="22">
      <c r="A52" s="192" t="n"/>
      <c r="B52" s="192" t="n"/>
      <c r="C52" s="192" t="n"/>
      <c r="D52" s="192" t="n"/>
      <c r="E52" s="192" t="n"/>
      <c r="F52" s="192" t="n"/>
      <c r="G52" s="192" t="n"/>
      <c r="H52" s="221" t="n"/>
      <c r="I52" s="248" t="inlineStr">
        <is>
          <t>Saldo libro interno</t>
        </is>
      </c>
      <c r="J52" s="214" t="n"/>
      <c r="K52" s="249">
        <f>IFERROR(LOOKUP(2,1/(F8:F50&lt;&gt;""),F8:F50),0)</f>
        <v/>
      </c>
      <c r="L52" s="214" t="n"/>
      <c r="M52" s="214" t="n"/>
      <c r="N52" s="192" t="n"/>
      <c r="O52" s="192" t="n"/>
      <c r="P52" s="192" t="n"/>
      <c r="Q52" s="192" t="n"/>
      <c r="R52" s="192" t="n"/>
      <c r="S52" s="192" t="n"/>
      <c r="T52" s="1" t="n"/>
      <c r="U52" s="1" t="n"/>
      <c r="V52" s="1" t="n"/>
      <c r="W52" s="1" t="n"/>
      <c r="X52" s="1" t="n"/>
      <c r="Y52" s="1" t="n"/>
    </row>
    <row r="53" ht="20" customHeight="1" s="22">
      <c r="A53" s="192" t="n"/>
      <c r="B53" s="192" t="n"/>
      <c r="C53" s="192" t="n"/>
      <c r="D53" s="192" t="n"/>
      <c r="E53" s="192" t="n"/>
      <c r="F53" s="192" t="n"/>
      <c r="G53" s="192" t="n"/>
      <c r="H53" s="221" t="n"/>
      <c r="I53" s="248" t="inlineStr">
        <is>
          <t>Saldo cartola banco</t>
        </is>
      </c>
      <c r="J53" s="214" t="n"/>
      <c r="K53" s="249">
        <f>IFERROR(LOOKUP(2,1/(N8:N50&lt;&gt;""),N8:N50),0)</f>
        <v/>
      </c>
      <c r="L53" s="214" t="n"/>
      <c r="M53" s="214" t="n"/>
      <c r="N53" s="192" t="n"/>
      <c r="O53" s="192" t="n"/>
      <c r="P53" s="192" t="n"/>
      <c r="Q53" s="192" t="n"/>
      <c r="R53" s="192" t="n"/>
      <c r="S53" s="192" t="n"/>
      <c r="T53" s="1" t="n"/>
      <c r="U53" s="1" t="n"/>
      <c r="V53" s="1" t="n"/>
      <c r="W53" s="1" t="n"/>
      <c r="X53" s="1" t="n"/>
      <c r="Y53" s="1" t="n"/>
    </row>
    <row r="54" ht="20" customHeight="1" s="22">
      <c r="A54" s="192" t="n"/>
      <c r="B54" s="192" t="n"/>
      <c r="C54" s="192" t="n"/>
      <c r="D54" s="192" t="n"/>
      <c r="E54" s="192" t="n"/>
      <c r="F54" s="192" t="n"/>
      <c r="G54" s="192" t="n"/>
      <c r="H54" s="221" t="n"/>
      <c r="I54" s="250" t="inlineStr">
        <is>
          <t>DIFERENCIA</t>
        </is>
      </c>
      <c r="J54" s="214" t="n"/>
      <c r="K54" s="251">
        <f>J52-J53</f>
        <v/>
      </c>
      <c r="L54" s="214" t="n"/>
      <c r="M54" s="214" t="n"/>
      <c r="N54" s="192" t="n"/>
      <c r="O54" s="192" t="n"/>
      <c r="P54" s="192" t="n"/>
      <c r="Q54" s="192" t="n"/>
      <c r="R54" s="192" t="n"/>
      <c r="S54" s="192" t="n"/>
      <c r="T54" s="1" t="n"/>
      <c r="U54" s="1" t="n"/>
      <c r="V54" s="1" t="n"/>
      <c r="W54" s="1" t="n"/>
      <c r="X54" s="1" t="n"/>
      <c r="Y54" s="1" t="n"/>
    </row>
    <row r="55">
      <c r="A55" s="192" t="n"/>
      <c r="B55" s="192" t="n"/>
      <c r="C55" s="192" t="n"/>
      <c r="D55" s="192" t="n"/>
      <c r="E55" s="192" t="n"/>
      <c r="F55" s="192" t="n"/>
      <c r="G55" s="192" t="n"/>
      <c r="H55" s="221" t="n"/>
      <c r="I55" s="221" t="n"/>
      <c r="J55" s="221" t="n"/>
      <c r="K55" s="221" t="n"/>
      <c r="L55" s="221" t="n"/>
      <c r="M55" s="221" t="n"/>
      <c r="N55" s="192" t="n"/>
      <c r="O55" s="192" t="n"/>
      <c r="P55" s="192" t="n"/>
      <c r="Q55" s="192" t="n"/>
      <c r="R55" s="192" t="n"/>
      <c r="S55" s="192" t="n"/>
      <c r="T55" s="1" t="n"/>
      <c r="U55" s="1" t="n"/>
      <c r="V55" s="1" t="n"/>
      <c r="W55" s="1" t="n"/>
      <c r="X55" s="1" t="n"/>
      <c r="Y55" s="1" t="n"/>
    </row>
    <row r="56" ht="22" customHeight="1" s="22">
      <c r="A56" s="192" t="n"/>
      <c r="B56" s="192" t="n"/>
      <c r="C56" s="192" t="n"/>
      <c r="D56" s="192" t="n"/>
      <c r="E56" s="192" t="n"/>
      <c r="F56" s="192" t="n"/>
      <c r="G56" s="192" t="n"/>
      <c r="H56" s="221" t="n"/>
      <c r="I56" s="252">
        <f>IF(J54=0,"✅  CUADRADA — Sin diferencias","❌  DESCUADRE de $"&amp;TEXT(ABS(J54),"#,##0")&amp;" — Revisar movimientos")</f>
        <v/>
      </c>
      <c r="J56" s="214" t="n"/>
      <c r="K56" s="214" t="n"/>
      <c r="L56" s="214" t="n"/>
      <c r="M56" s="214" t="n"/>
      <c r="N56" s="192" t="n"/>
      <c r="O56" s="192" t="n"/>
      <c r="P56" s="192" t="n"/>
      <c r="Q56" s="192" t="n"/>
      <c r="R56" s="192" t="n"/>
      <c r="S56" s="192" t="n"/>
      <c r="T56" s="1" t="n"/>
      <c r="U56" s="1" t="n"/>
      <c r="V56" s="1" t="n"/>
      <c r="W56" s="1" t="n"/>
      <c r="X56" s="1" t="n"/>
      <c r="Y56" s="1" t="n"/>
    </row>
    <row r="57">
      <c r="A57" s="192" t="n"/>
      <c r="B57" s="192" t="n"/>
      <c r="C57" s="192" t="n"/>
      <c r="D57" s="192" t="n"/>
      <c r="E57" s="192" t="n"/>
      <c r="F57" s="192" t="n"/>
      <c r="G57" s="192" t="n"/>
      <c r="H57" s="221" t="n"/>
      <c r="I57" s="221" t="n"/>
      <c r="J57" s="221" t="n"/>
      <c r="K57" s="221" t="n"/>
      <c r="L57" s="221" t="n"/>
      <c r="M57" s="221" t="n"/>
      <c r="N57" s="192" t="n"/>
      <c r="O57" s="192" t="n"/>
      <c r="P57" s="192" t="n"/>
      <c r="Q57" s="192" t="n"/>
      <c r="R57" s="192" t="n"/>
      <c r="S57" s="192" t="n"/>
      <c r="T57" s="1" t="n"/>
      <c r="U57" s="1" t="n"/>
      <c r="V57" s="1" t="n"/>
      <c r="W57" s="1" t="n"/>
      <c r="X57" s="1" t="n"/>
      <c r="Y57" s="1" t="n"/>
    </row>
    <row r="58">
      <c r="A58" s="192" t="n"/>
      <c r="B58" s="192" t="n"/>
      <c r="C58" s="192" t="n"/>
      <c r="D58" s="192" t="n"/>
      <c r="E58" s="192" t="n"/>
      <c r="F58" s="192" t="n"/>
      <c r="G58" s="192" t="n"/>
      <c r="H58" s="221" t="n"/>
      <c r="I58" s="221" t="n"/>
      <c r="J58" s="221" t="n"/>
      <c r="K58" s="221" t="n"/>
      <c r="L58" s="221" t="n"/>
      <c r="M58" s="221" t="n"/>
      <c r="N58" s="192" t="n"/>
      <c r="O58" s="192" t="n"/>
      <c r="P58" s="192" t="n"/>
      <c r="Q58" s="192" t="n"/>
      <c r="R58" s="192" t="n"/>
      <c r="S58" s="192" t="n"/>
      <c r="T58" s="1" t="n"/>
      <c r="U58" s="1" t="n"/>
      <c r="V58" s="1" t="n"/>
      <c r="W58" s="1" t="n"/>
      <c r="X58" s="1" t="n"/>
      <c r="Y58" s="1" t="n"/>
    </row>
    <row r="59">
      <c r="A59" s="192" t="n"/>
      <c r="B59" s="192" t="n"/>
      <c r="C59" s="192" t="n"/>
      <c r="D59" s="192" t="n"/>
      <c r="E59" s="192" t="n"/>
      <c r="F59" s="192" t="n"/>
      <c r="G59" s="192" t="n"/>
      <c r="H59" s="221" t="n"/>
      <c r="I59" s="221" t="n"/>
      <c r="J59" s="221" t="n"/>
      <c r="K59" s="221" t="n"/>
      <c r="L59" s="221" t="n"/>
      <c r="M59" s="221" t="n"/>
      <c r="N59" s="192" t="n"/>
      <c r="O59" s="192" t="n"/>
      <c r="P59" s="192" t="n"/>
      <c r="Q59" s="192" t="n"/>
      <c r="R59" s="192" t="n"/>
      <c r="S59" s="192" t="n"/>
      <c r="T59" s="1" t="n"/>
      <c r="U59" s="1" t="n"/>
      <c r="V59" s="1" t="n"/>
      <c r="W59" s="1" t="n"/>
      <c r="X59" s="1" t="n"/>
      <c r="Y59" s="1" t="n"/>
    </row>
    <row r="60">
      <c r="A60" s="192" t="n"/>
      <c r="B60" s="192" t="n"/>
      <c r="C60" s="192" t="n"/>
      <c r="D60" s="192" t="n"/>
      <c r="E60" s="192" t="n"/>
      <c r="F60" s="192" t="n"/>
      <c r="G60" s="192" t="n"/>
      <c r="H60" s="221" t="n"/>
      <c r="I60" s="221" t="n"/>
      <c r="J60" s="221" t="n"/>
      <c r="K60" s="221" t="n"/>
      <c r="L60" s="221" t="n"/>
      <c r="M60" s="221" t="n"/>
      <c r="N60" s="192" t="n"/>
      <c r="O60" s="192" t="n"/>
      <c r="P60" s="192" t="n"/>
      <c r="Q60" s="192" t="n"/>
      <c r="R60" s="192" t="n"/>
      <c r="S60" s="192" t="n"/>
      <c r="T60" s="1" t="n"/>
      <c r="U60" s="1" t="n"/>
      <c r="V60" s="1" t="n"/>
      <c r="W60" s="1" t="n"/>
      <c r="X60" s="1" t="n"/>
      <c r="Y60" s="1" t="n"/>
    </row>
    <row r="61">
      <c r="A61" s="192" t="n"/>
      <c r="B61" s="192" t="n"/>
      <c r="C61" s="192" t="n"/>
      <c r="D61" s="192" t="n"/>
      <c r="E61" s="192" t="n"/>
      <c r="F61" s="192" t="n"/>
      <c r="G61" s="192" t="n"/>
      <c r="H61" s="221" t="n"/>
      <c r="I61" s="221" t="n"/>
      <c r="J61" s="221" t="n"/>
      <c r="K61" s="221" t="n"/>
      <c r="L61" s="221" t="n"/>
      <c r="M61" s="221" t="n"/>
      <c r="N61" s="192" t="n"/>
      <c r="O61" s="192" t="n"/>
      <c r="P61" s="192" t="n"/>
      <c r="Q61" s="192" t="n"/>
      <c r="R61" s="192" t="n"/>
      <c r="S61" s="192" t="n"/>
      <c r="T61" s="1" t="n"/>
      <c r="U61" s="1" t="n"/>
      <c r="V61" s="1" t="n"/>
      <c r="W61" s="1" t="n"/>
      <c r="X61" s="1" t="n"/>
      <c r="Y61" s="1" t="n"/>
    </row>
    <row r="62">
      <c r="A62" s="192" t="n"/>
      <c r="B62" s="192" t="n"/>
      <c r="C62" s="192" t="n"/>
      <c r="D62" s="192" t="n"/>
      <c r="E62" s="192" t="n"/>
      <c r="F62" s="192" t="n"/>
      <c r="G62" s="192" t="n"/>
      <c r="H62" s="192" t="n"/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  <c r="R62" s="192" t="n"/>
      <c r="S62" s="192" t="n"/>
      <c r="T62" s="1" t="n"/>
      <c r="U62" s="1" t="n"/>
      <c r="V62" s="1" t="n"/>
      <c r="W62" s="1" t="n"/>
      <c r="X62" s="1" t="n"/>
      <c r="Y62" s="1" t="n"/>
    </row>
    <row r="63">
      <c r="A63" s="192" t="n"/>
      <c r="B63" s="192" t="n"/>
      <c r="C63" s="192" t="n"/>
      <c r="D63" s="192" t="n"/>
      <c r="E63" s="192" t="n"/>
      <c r="F63" s="192" t="n"/>
      <c r="G63" s="192" t="n"/>
      <c r="H63" s="192" t="n"/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  <c r="R63" s="192" t="n"/>
      <c r="S63" s="192" t="n"/>
      <c r="T63" s="1" t="n"/>
      <c r="U63" s="1" t="n"/>
      <c r="V63" s="1" t="n"/>
      <c r="W63" s="1" t="n"/>
      <c r="X63" s="1" t="n"/>
      <c r="Y63" s="1" t="n"/>
    </row>
    <row r="64">
      <c r="A64" s="192" t="n"/>
      <c r="B64" s="192" t="n"/>
      <c r="C64" s="192" t="n"/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  <c r="R64" s="192" t="n"/>
      <c r="S64" s="192" t="n"/>
      <c r="T64" s="1" t="n"/>
      <c r="U64" s="1" t="n"/>
      <c r="V64" s="1" t="n"/>
      <c r="W64" s="1" t="n"/>
      <c r="X64" s="1" t="n"/>
      <c r="Y64" s="1" t="n"/>
    </row>
    <row r="65">
      <c r="A65" s="192" t="n"/>
      <c r="B65" s="192" t="n"/>
      <c r="C65" s="192" t="n"/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  <c r="R65" s="192" t="n"/>
      <c r="S65" s="192" t="n"/>
      <c r="T65" s="1" t="n"/>
      <c r="U65" s="1" t="n"/>
      <c r="V65" s="1" t="n"/>
      <c r="W65" s="1" t="n"/>
      <c r="X65" s="1" t="n"/>
      <c r="Y65" s="1" t="n"/>
    </row>
    <row r="66">
      <c r="A66" s="192" t="n"/>
      <c r="B66" s="192" t="n"/>
      <c r="C66" s="192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  <c r="R66" s="192" t="n"/>
      <c r="S66" s="192" t="n"/>
      <c r="T66" s="1" t="n"/>
      <c r="U66" s="1" t="n"/>
      <c r="V66" s="1" t="n"/>
      <c r="W66" s="1" t="n"/>
      <c r="X66" s="1" t="n"/>
      <c r="Y66" s="1" t="n"/>
    </row>
    <row r="67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  <c r="R67" s="192" t="n"/>
      <c r="S67" s="192" t="n"/>
      <c r="T67" s="1" t="n"/>
      <c r="U67" s="1" t="n"/>
      <c r="V67" s="1" t="n"/>
      <c r="W67" s="1" t="n"/>
      <c r="X67" s="1" t="n"/>
      <c r="Y67" s="1" t="n"/>
    </row>
    <row r="68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  <c r="R68" s="192" t="n"/>
      <c r="S68" s="192" t="n"/>
      <c r="T68" s="1" t="n"/>
      <c r="U68" s="1" t="n"/>
      <c r="V68" s="1" t="n"/>
      <c r="W68" s="1" t="n"/>
      <c r="X68" s="1" t="n"/>
      <c r="Y68" s="1" t="n"/>
    </row>
    <row r="69">
      <c r="A69" s="192" t="n"/>
      <c r="B69" s="192" t="n"/>
      <c r="C69" s="192" t="n"/>
      <c r="D69" s="192" t="n"/>
      <c r="E69" s="192" t="n"/>
      <c r="F69" s="192" t="n"/>
      <c r="G69" s="192" t="n"/>
      <c r="H69" s="192" t="n"/>
      <c r="I69" s="192" t="n"/>
      <c r="J69" s="192" t="n"/>
      <c r="K69" s="192" t="n"/>
      <c r="L69" s="192" t="n"/>
      <c r="M69" s="192" t="n"/>
      <c r="N69" s="192" t="n"/>
      <c r="O69" s="192" t="n"/>
      <c r="P69" s="192" t="n"/>
      <c r="Q69" s="192" t="n"/>
      <c r="R69" s="192" t="n"/>
      <c r="S69" s="192" t="n"/>
      <c r="T69" s="1" t="n"/>
      <c r="U69" s="1" t="n"/>
      <c r="V69" s="1" t="n"/>
      <c r="W69" s="1" t="n"/>
      <c r="X69" s="1" t="n"/>
      <c r="Y69" s="1" t="n"/>
    </row>
    <row r="70">
      <c r="A70" s="192" t="n"/>
      <c r="B70" s="192" t="n"/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  <c r="R70" s="192" t="n"/>
      <c r="S70" s="192" t="n"/>
      <c r="T70" s="1" t="n"/>
      <c r="U70" s="1" t="n"/>
      <c r="V70" s="1" t="n"/>
      <c r="W70" s="1" t="n"/>
      <c r="X70" s="1" t="n"/>
      <c r="Y70" s="1" t="n"/>
    </row>
    <row r="7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  <c r="R71" s="192" t="n"/>
      <c r="S71" s="192" t="n"/>
      <c r="T71" s="1" t="n"/>
      <c r="U71" s="1" t="n"/>
      <c r="V71" s="1" t="n"/>
      <c r="W71" s="1" t="n"/>
      <c r="X71" s="1" t="n"/>
      <c r="Y71" s="1" t="n"/>
    </row>
    <row r="72">
      <c r="A72" s="192" t="n"/>
      <c r="B72" s="192" t="n"/>
      <c r="C72" s="192" t="n"/>
      <c r="D72" s="192" t="n"/>
      <c r="E72" s="192" t="n"/>
      <c r="F72" s="192" t="n"/>
      <c r="G72" s="192" t="n"/>
      <c r="H72" s="192" t="n"/>
      <c r="I72" s="192" t="n"/>
      <c r="J72" s="192" t="n"/>
      <c r="K72" s="192" t="n"/>
      <c r="L72" s="192" t="n"/>
      <c r="M72" s="192" t="n"/>
      <c r="N72" s="192" t="n"/>
      <c r="O72" s="192" t="n"/>
      <c r="P72" s="192" t="n"/>
      <c r="Q72" s="192" t="n"/>
      <c r="R72" s="192" t="n"/>
      <c r="S72" s="192" t="n"/>
      <c r="T72" s="1" t="n"/>
      <c r="U72" s="1" t="n"/>
      <c r="V72" s="1" t="n"/>
      <c r="W72" s="1" t="n"/>
      <c r="X72" s="1" t="n"/>
      <c r="Y72" s="1" t="n"/>
    </row>
    <row r="73">
      <c r="A73" s="192" t="n"/>
      <c r="B73" s="192" t="n"/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  <c r="R73" s="192" t="n"/>
      <c r="S73" s="192" t="n"/>
      <c r="T73" s="1" t="n"/>
      <c r="U73" s="1" t="n"/>
      <c r="V73" s="1" t="n"/>
      <c r="W73" s="1" t="n"/>
      <c r="X73" s="1" t="n"/>
      <c r="Y73" s="1" t="n"/>
    </row>
    <row r="74">
      <c r="A74" s="192" t="n"/>
      <c r="B74" s="192" t="n"/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  <c r="R74" s="192" t="n"/>
      <c r="S74" s="192" t="n"/>
      <c r="T74" s="1" t="n"/>
      <c r="U74" s="1" t="n"/>
      <c r="V74" s="1" t="n"/>
      <c r="W74" s="1" t="n"/>
      <c r="X74" s="1" t="n"/>
      <c r="Y74" s="1" t="n"/>
    </row>
    <row r="75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  <c r="R75" s="192" t="n"/>
      <c r="S75" s="192" t="n"/>
      <c r="T75" s="1" t="n"/>
      <c r="U75" s="1" t="n"/>
      <c r="V75" s="1" t="n"/>
      <c r="W75" s="1" t="n"/>
      <c r="X75" s="1" t="n"/>
      <c r="Y75" s="1" t="n"/>
    </row>
    <row r="76">
      <c r="A76" s="192" t="n"/>
      <c r="B76" s="192" t="n"/>
      <c r="C76" s="192" t="n"/>
      <c r="D76" s="192" t="n"/>
      <c r="E76" s="192" t="n"/>
      <c r="F76" s="192" t="n"/>
      <c r="G76" s="192" t="n"/>
      <c r="H76" s="192" t="n"/>
      <c r="I76" s="192" t="n"/>
      <c r="J76" s="192" t="n"/>
      <c r="K76" s="192" t="n"/>
      <c r="L76" s="192" t="n"/>
      <c r="M76" s="192" t="n"/>
      <c r="N76" s="192" t="n"/>
      <c r="O76" s="192" t="n"/>
      <c r="P76" s="192" t="n"/>
      <c r="Q76" s="192" t="n"/>
      <c r="R76" s="192" t="n"/>
      <c r="S76" s="192" t="n"/>
      <c r="T76" s="1" t="n"/>
      <c r="U76" s="1" t="n"/>
      <c r="V76" s="1" t="n"/>
      <c r="W76" s="1" t="n"/>
      <c r="X76" s="1" t="n"/>
      <c r="Y76" s="1" t="n"/>
    </row>
    <row r="77">
      <c r="A77" s="192" t="n"/>
      <c r="B77" s="192" t="n"/>
      <c r="C77" s="192" t="n"/>
      <c r="D77" s="192" t="n"/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  <c r="R77" s="192" t="n"/>
      <c r="S77" s="192" t="n"/>
      <c r="T77" s="1" t="n"/>
      <c r="U77" s="1" t="n"/>
      <c r="V77" s="1" t="n"/>
      <c r="W77" s="1" t="n"/>
      <c r="X77" s="1" t="n"/>
      <c r="Y77" s="1" t="n"/>
    </row>
    <row r="78">
      <c r="A78" s="192" t="n"/>
      <c r="B78" s="192" t="n"/>
      <c r="C78" s="192" t="n"/>
      <c r="D78" s="192" t="n"/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  <c r="R78" s="192" t="n"/>
      <c r="S78" s="192" t="n"/>
      <c r="T78" s="1" t="n"/>
      <c r="U78" s="1" t="n"/>
      <c r="V78" s="1" t="n"/>
      <c r="W78" s="1" t="n"/>
      <c r="X78" s="1" t="n"/>
      <c r="Y78" s="1" t="n"/>
    </row>
    <row r="79">
      <c r="A79" s="192" t="n"/>
      <c r="B79" s="192" t="n"/>
      <c r="C79" s="192" t="n"/>
      <c r="D79" s="192" t="n"/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  <c r="R79" s="192" t="n"/>
      <c r="S79" s="192" t="n"/>
      <c r="T79" s="1" t="n"/>
      <c r="U79" s="1" t="n"/>
      <c r="V79" s="1" t="n"/>
      <c r="W79" s="1" t="n"/>
      <c r="X79" s="1" t="n"/>
      <c r="Y79" s="1" t="n"/>
    </row>
    <row r="80">
      <c r="A80" s="192" t="n"/>
      <c r="B80" s="192" t="n"/>
      <c r="C80" s="192" t="n"/>
      <c r="D80" s="192" t="n"/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  <c r="R80" s="192" t="n"/>
      <c r="S80" s="192" t="n"/>
      <c r="T80" s="1" t="n"/>
      <c r="U80" s="1" t="n"/>
      <c r="V80" s="1" t="n"/>
      <c r="W80" s="1" t="n"/>
      <c r="X80" s="1" t="n"/>
      <c r="Y80" s="1" t="n"/>
    </row>
    <row r="8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  <c r="R81" s="192" t="n"/>
      <c r="S81" s="192" t="n"/>
      <c r="T81" s="1" t="n"/>
      <c r="U81" s="1" t="n"/>
      <c r="V81" s="1" t="n"/>
      <c r="W81" s="1" t="n"/>
      <c r="X81" s="1" t="n"/>
      <c r="Y81" s="1" t="n"/>
    </row>
    <row r="82">
      <c r="A82" s="192" t="n"/>
      <c r="B82" s="192" t="n"/>
      <c r="C82" s="192" t="n"/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  <c r="R82" s="192" t="n"/>
      <c r="S82" s="192" t="n"/>
      <c r="T82" s="1" t="n"/>
      <c r="U82" s="1" t="n"/>
      <c r="V82" s="1" t="n"/>
      <c r="W82" s="1" t="n"/>
      <c r="X82" s="1" t="n"/>
      <c r="Y82" s="1" t="n"/>
    </row>
    <row r="83">
      <c r="A83" s="192" t="n"/>
      <c r="B83" s="192" t="n"/>
      <c r="C83" s="192" t="n"/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  <c r="R83" s="192" t="n"/>
      <c r="S83" s="192" t="n"/>
      <c r="T83" s="1" t="n"/>
      <c r="U83" s="1" t="n"/>
      <c r="V83" s="1" t="n"/>
      <c r="W83" s="1" t="n"/>
      <c r="X83" s="1" t="n"/>
      <c r="Y83" s="1" t="n"/>
    </row>
    <row r="84">
      <c r="A84" s="192" t="n"/>
      <c r="B84" s="192" t="n"/>
      <c r="C84" s="192" t="n"/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  <c r="R84" s="192" t="n"/>
      <c r="S84" s="192" t="n"/>
      <c r="T84" s="1" t="n"/>
      <c r="U84" s="1" t="n"/>
      <c r="V84" s="1" t="n"/>
      <c r="W84" s="1" t="n"/>
      <c r="X84" s="1" t="n"/>
      <c r="Y84" s="1" t="n"/>
    </row>
    <row r="85">
      <c r="A85" s="192" t="n"/>
      <c r="B85" s="192" t="n"/>
      <c r="C85" s="192" t="n"/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  <c r="R85" s="192" t="n"/>
      <c r="S85" s="192" t="n"/>
      <c r="T85" s="1" t="n"/>
      <c r="U85" s="1" t="n"/>
      <c r="V85" s="1" t="n"/>
      <c r="W85" s="1" t="n"/>
      <c r="X85" s="1" t="n"/>
      <c r="Y85" s="1" t="n"/>
    </row>
    <row r="86">
      <c r="A86" s="192" t="n"/>
      <c r="B86" s="192" t="n"/>
      <c r="C86" s="192" t="n"/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  <c r="R86" s="192" t="n"/>
      <c r="S86" s="192" t="n"/>
      <c r="T86" s="1" t="n"/>
      <c r="U86" s="1" t="n"/>
      <c r="V86" s="1" t="n"/>
      <c r="W86" s="1" t="n"/>
      <c r="X86" s="1" t="n"/>
      <c r="Y86" s="1" t="n"/>
    </row>
    <row r="87">
      <c r="A87" s="192" t="n"/>
      <c r="B87" s="192" t="n"/>
      <c r="C87" s="192" t="n"/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  <c r="R87" s="192" t="n"/>
      <c r="S87" s="192" t="n"/>
      <c r="T87" s="1" t="n"/>
      <c r="U87" s="1" t="n"/>
      <c r="V87" s="1" t="n"/>
      <c r="W87" s="1" t="n"/>
      <c r="X87" s="1" t="n"/>
      <c r="Y87" s="1" t="n"/>
    </row>
    <row r="88">
      <c r="A88" s="192" t="n"/>
      <c r="B88" s="192" t="n"/>
      <c r="C88" s="192" t="n"/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  <c r="R88" s="192" t="n"/>
      <c r="S88" s="192" t="n"/>
      <c r="T88" s="1" t="n"/>
      <c r="U88" s="1" t="n"/>
      <c r="V88" s="1" t="n"/>
      <c r="W88" s="1" t="n"/>
      <c r="X88" s="1" t="n"/>
      <c r="Y88" s="1" t="n"/>
    </row>
    <row r="89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  <c r="R89" s="192" t="n"/>
      <c r="S89" s="192" t="n"/>
      <c r="T89" s="1" t="n"/>
      <c r="U89" s="1" t="n"/>
      <c r="V89" s="1" t="n"/>
      <c r="W89" s="1" t="n"/>
      <c r="X89" s="1" t="n"/>
      <c r="Y89" s="1" t="n"/>
    </row>
    <row r="90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  <c r="R90" s="192" t="n"/>
      <c r="S90" s="192" t="n"/>
      <c r="T90" s="1" t="n"/>
      <c r="U90" s="1" t="n"/>
      <c r="V90" s="1" t="n"/>
      <c r="W90" s="1" t="n"/>
      <c r="X90" s="1" t="n"/>
      <c r="Y90" s="1" t="n"/>
    </row>
    <row r="9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  <c r="R91" s="192" t="n"/>
      <c r="S91" s="192" t="n"/>
      <c r="T91" s="1" t="n"/>
      <c r="U91" s="1" t="n"/>
      <c r="V91" s="1" t="n"/>
      <c r="W91" s="1" t="n"/>
      <c r="X91" s="1" t="n"/>
      <c r="Y91" s="1" t="n"/>
    </row>
    <row r="92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  <c r="R92" s="192" t="n"/>
      <c r="S92" s="192" t="n"/>
      <c r="T92" s="1" t="n"/>
      <c r="U92" s="1" t="n"/>
      <c r="V92" s="1" t="n"/>
      <c r="W92" s="1" t="n"/>
      <c r="X92" s="1" t="n"/>
      <c r="Y92" s="1" t="n"/>
    </row>
    <row r="93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  <c r="R93" s="192" t="n"/>
      <c r="S93" s="192" t="n"/>
      <c r="T93" s="1" t="n"/>
      <c r="U93" s="1" t="n"/>
      <c r="V93" s="1" t="n"/>
      <c r="W93" s="1" t="n"/>
      <c r="X93" s="1" t="n"/>
      <c r="Y93" s="1" t="n"/>
    </row>
    <row r="94">
      <c r="A94" s="192" t="n"/>
      <c r="B94" s="192" t="n"/>
      <c r="C94" s="192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  <c r="R94" s="192" t="n"/>
      <c r="S94" s="192" t="n"/>
      <c r="T94" s="1" t="n"/>
      <c r="U94" s="1" t="n"/>
      <c r="V94" s="1" t="n"/>
      <c r="W94" s="1" t="n"/>
      <c r="X94" s="1" t="n"/>
      <c r="Y94" s="1" t="n"/>
    </row>
    <row r="95">
      <c r="A95" s="192" t="n"/>
      <c r="B95" s="192" t="n"/>
      <c r="C95" s="192" t="n"/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  <c r="R95" s="192" t="n"/>
      <c r="S95" s="192" t="n"/>
      <c r="T95" s="1" t="n"/>
      <c r="U95" s="1" t="n"/>
      <c r="V95" s="1" t="n"/>
      <c r="W95" s="1" t="n"/>
      <c r="X95" s="1" t="n"/>
      <c r="Y95" s="1" t="n"/>
    </row>
    <row r="96">
      <c r="A96" s="192" t="n"/>
      <c r="B96" s="192" t="n"/>
      <c r="C96" s="192" t="n"/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  <c r="R96" s="192" t="n"/>
      <c r="S96" s="192" t="n"/>
      <c r="T96" s="1" t="n"/>
      <c r="U96" s="1" t="n"/>
      <c r="V96" s="1" t="n"/>
      <c r="W96" s="1" t="n"/>
      <c r="X96" s="1" t="n"/>
      <c r="Y96" s="1" t="n"/>
    </row>
    <row r="97">
      <c r="A97" s="192" t="n"/>
      <c r="B97" s="192" t="n"/>
      <c r="C97" s="192" t="n"/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  <c r="R97" s="192" t="n"/>
      <c r="S97" s="192" t="n"/>
      <c r="T97" s="1" t="n"/>
      <c r="U97" s="1" t="n"/>
      <c r="V97" s="1" t="n"/>
      <c r="W97" s="1" t="n"/>
      <c r="X97" s="1" t="n"/>
      <c r="Y97" s="1" t="n"/>
    </row>
    <row r="98">
      <c r="A98" s="192" t="n"/>
      <c r="B98" s="192" t="n"/>
      <c r="C98" s="192" t="n"/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  <c r="R98" s="192" t="n"/>
      <c r="S98" s="192" t="n"/>
      <c r="T98" s="1" t="n"/>
      <c r="U98" s="1" t="n"/>
      <c r="V98" s="1" t="n"/>
      <c r="W98" s="1" t="n"/>
      <c r="X98" s="1" t="n"/>
      <c r="Y98" s="1" t="n"/>
    </row>
    <row r="99">
      <c r="A99" s="192" t="n"/>
      <c r="B99" s="192" t="n"/>
      <c r="C99" s="192" t="n"/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  <c r="R99" s="192" t="n"/>
      <c r="S99" s="192" t="n"/>
      <c r="T99" s="1" t="n"/>
      <c r="U99" s="1" t="n"/>
      <c r="V99" s="1" t="n"/>
      <c r="W99" s="1" t="n"/>
      <c r="X99" s="1" t="n"/>
      <c r="Y99" s="1" t="n"/>
    </row>
    <row r="100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  <c r="R100" s="192" t="n"/>
      <c r="S100" s="192" t="n"/>
      <c r="T100" s="1" t="n"/>
      <c r="U100" s="1" t="n"/>
      <c r="V100" s="1" t="n"/>
      <c r="W100" s="1" t="n"/>
      <c r="X100" s="1" t="n"/>
      <c r="Y100" s="1" t="n"/>
    </row>
    <row r="101">
      <c r="A101" s="192" t="n"/>
      <c r="B101" s="192" t="n"/>
      <c r="C101" s="192" t="n"/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  <c r="R101" s="192" t="n"/>
      <c r="S101" s="192" t="n"/>
      <c r="T101" s="1" t="n"/>
      <c r="U101" s="1" t="n"/>
      <c r="V101" s="1" t="n"/>
      <c r="W101" s="1" t="n"/>
      <c r="X101" s="1" t="n"/>
      <c r="Y101" s="1" t="n"/>
    </row>
    <row r="102">
      <c r="A102" s="192" t="n"/>
      <c r="B102" s="192" t="n"/>
      <c r="C102" s="192" t="n"/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  <c r="R102" s="192" t="n"/>
      <c r="S102" s="192" t="n"/>
      <c r="T102" s="1" t="n"/>
      <c r="U102" s="1" t="n"/>
      <c r="V102" s="1" t="n"/>
      <c r="W102" s="1" t="n"/>
      <c r="X102" s="1" t="n"/>
      <c r="Y102" s="1" t="n"/>
    </row>
    <row r="103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  <c r="R103" s="192" t="n"/>
      <c r="S103" s="192" t="n"/>
      <c r="T103" s="1" t="n"/>
      <c r="U103" s="1" t="n"/>
      <c r="V103" s="1" t="n"/>
      <c r="W103" s="1" t="n"/>
      <c r="X103" s="1" t="n"/>
      <c r="Y103" s="1" t="n"/>
    </row>
    <row r="104">
      <c r="A104" s="192" t="n"/>
      <c r="B104" s="192" t="n"/>
      <c r="C104" s="192" t="n"/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  <c r="R104" s="192" t="n"/>
      <c r="S104" s="192" t="n"/>
      <c r="T104" s="1" t="n"/>
      <c r="U104" s="1" t="n"/>
      <c r="V104" s="1" t="n"/>
      <c r="W104" s="1" t="n"/>
      <c r="X104" s="1" t="n"/>
      <c r="Y104" s="1" t="n"/>
    </row>
    <row r="105">
      <c r="A105" s="192" t="n"/>
      <c r="B105" s="192" t="n"/>
      <c r="C105" s="192" t="n"/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  <c r="R105" s="192" t="n"/>
      <c r="S105" s="192" t="n"/>
      <c r="T105" s="1" t="n"/>
      <c r="U105" s="1" t="n"/>
      <c r="V105" s="1" t="n"/>
      <c r="W105" s="1" t="n"/>
      <c r="X105" s="1" t="n"/>
      <c r="Y105" s="1" t="n"/>
    </row>
    <row r="106">
      <c r="A106" s="192" t="n"/>
      <c r="B106" s="192" t="n"/>
      <c r="C106" s="192" t="n"/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  <c r="R106" s="192" t="n"/>
      <c r="S106" s="192" t="n"/>
      <c r="T106" s="1" t="n"/>
      <c r="U106" s="1" t="n"/>
      <c r="V106" s="1" t="n"/>
      <c r="W106" s="1" t="n"/>
      <c r="X106" s="1" t="n"/>
      <c r="Y106" s="1" t="n"/>
    </row>
    <row r="107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  <c r="R107" s="192" t="n"/>
      <c r="S107" s="192" t="n"/>
      <c r="T107" s="1" t="n"/>
      <c r="U107" s="1" t="n"/>
      <c r="V107" s="1" t="n"/>
      <c r="W107" s="1" t="n"/>
      <c r="X107" s="1" t="n"/>
      <c r="Y107" s="1" t="n"/>
    </row>
    <row r="108">
      <c r="A108" s="192" t="n"/>
      <c r="B108" s="192" t="n"/>
      <c r="C108" s="192" t="n"/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  <c r="R108" s="192" t="n"/>
      <c r="S108" s="192" t="n"/>
      <c r="T108" s="1" t="n"/>
      <c r="U108" s="1" t="n"/>
      <c r="V108" s="1" t="n"/>
      <c r="W108" s="1" t="n"/>
      <c r="X108" s="1" t="n"/>
      <c r="Y108" s="1" t="n"/>
    </row>
    <row r="109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  <c r="R109" s="192" t="n"/>
      <c r="S109" s="192" t="n"/>
      <c r="T109" s="1" t="n"/>
      <c r="U109" s="1" t="n"/>
      <c r="V109" s="1" t="n"/>
      <c r="W109" s="1" t="n"/>
      <c r="X109" s="1" t="n"/>
      <c r="Y109" s="1" t="n"/>
    </row>
    <row r="110">
      <c r="A110" s="192" t="n"/>
      <c r="B110" s="192" t="n"/>
      <c r="C110" s="192" t="n"/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  <c r="R110" s="192" t="n"/>
      <c r="S110" s="192" t="n"/>
      <c r="T110" s="1" t="n"/>
      <c r="U110" s="1" t="n"/>
      <c r="V110" s="1" t="n"/>
      <c r="W110" s="1" t="n"/>
      <c r="X110" s="1" t="n"/>
      <c r="Y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</sheetData>
  <mergeCells count="10">
    <mergeCell ref="I56:M56"/>
    <mergeCell ref="I54:J54"/>
    <mergeCell ref="I51:M51"/>
    <mergeCell ref="K54:M54"/>
    <mergeCell ref="I52:J52"/>
    <mergeCell ref="Q2:T2"/>
    <mergeCell ref="I53:J53"/>
    <mergeCell ref="K52:M52"/>
    <mergeCell ref="K53:M53"/>
    <mergeCell ref="A2:P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FF7E3AF2"/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10" defaultColWidth="9.140625" defaultRowHeight="15"/>
  <cols>
    <col width="2" customWidth="1" style="22" min="1" max="1"/>
    <col width="24" customWidth="1" style="22" min="2" max="2"/>
    <col width="10" customWidth="1" style="22" min="3" max="10"/>
    <col width="14" customWidth="1" style="22" min="4" max="4"/>
    <col width="14" customWidth="1" style="22" min="5" max="5"/>
    <col width="14" customWidth="1" style="22" min="6" max="6"/>
    <col width="14" customWidth="1" style="22" min="7" max="7"/>
    <col width="14" customWidth="1" style="22" min="8" max="8"/>
    <col width="1" customWidth="1" style="22" min="9" max="9"/>
    <col width="12" customWidth="1" style="22" min="10" max="10"/>
    <col width="12" customWidth="1" style="22" min="11" max="11"/>
    <col width="12" customWidth="1" style="22" min="12" max="12"/>
  </cols>
  <sheetData>
    <row r="1" ht="6" customHeight="1" s="22">
      <c r="A1" s="253" t="n"/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4" t="n"/>
      <c r="N1" s="254" t="n"/>
      <c r="O1" s="35" t="inlineStr">
        <is>
          <t>Plantilla Empresarial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0" customHeight="1" s="22">
      <c r="A2" s="255" t="inlineStr">
        <is>
          <t>COMPARADOR DE PRECIOS POR PROVEEDOR</t>
        </is>
      </c>
      <c r="M2" s="254" t="n"/>
      <c r="N2" s="254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4" customHeight="1" s="22">
      <c r="A3" s="256" t="n"/>
      <c r="B3" s="256" t="n"/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4" t="n"/>
      <c r="N3" s="254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20" customHeight="1" s="22">
      <c r="A4" s="254" t="n"/>
      <c r="B4" s="257" t="inlineStr">
        <is>
          <t>Ingresa el Código de Producto y la cantidad. Los nombres se completan automáticamente desde el Maestro de Productos.</t>
        </is>
      </c>
      <c r="M4" s="254" t="n"/>
      <c r="N4" s="254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8" customHeight="1" s="22">
      <c r="A5" s="254" t="n"/>
      <c r="B5" s="254" t="n"/>
      <c r="C5" s="254" t="n"/>
      <c r="D5" s="254" t="n"/>
      <c r="E5" s="254" t="n"/>
      <c r="F5" s="254" t="n"/>
      <c r="G5" s="254" t="n"/>
      <c r="H5" s="254" t="n"/>
      <c r="I5" s="254" t="n"/>
      <c r="J5" s="254" t="n"/>
      <c r="K5" s="254" t="n"/>
      <c r="L5" s="254" t="n"/>
      <c r="M5" s="254" t="n"/>
      <c r="N5" s="254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2" customHeight="1" s="22">
      <c r="A6" s="258" t="inlineStr">
        <is>
          <t>CÓDIGO</t>
        </is>
      </c>
      <c r="B6" s="258" t="inlineStr">
        <is>
          <t>PRODUCTO</t>
        </is>
      </c>
      <c r="C6" s="258" t="inlineStr">
        <is>
          <t>CANTIDAD</t>
        </is>
      </c>
      <c r="D6" s="258" t="inlineStr">
        <is>
          <t>PRECIO PROV 1</t>
        </is>
      </c>
      <c r="E6" s="258" t="inlineStr">
        <is>
          <t>PRECIO PROV 2</t>
        </is>
      </c>
      <c r="F6" s="258" t="inlineStr">
        <is>
          <t>PRECIO PROV 3</t>
        </is>
      </c>
      <c r="G6" s="258" t="inlineStr">
        <is>
          <t>PRECIO PROV 4</t>
        </is>
      </c>
      <c r="H6" s="258" t="inlineStr">
        <is>
          <t>PRECIO PROV 5</t>
        </is>
      </c>
      <c r="I6" s="258" t="inlineStr"/>
      <c r="J6" s="258" t="inlineStr">
        <is>
          <t>MEJOR PRECIO</t>
        </is>
      </c>
      <c r="K6" s="258" t="inlineStr">
        <is>
          <t>PROMEDIO</t>
        </is>
      </c>
      <c r="L6" s="258" t="inlineStr">
        <is>
          <t>MAYOR PRECIO</t>
        </is>
      </c>
      <c r="M6" s="254" t="n"/>
      <c r="N6" s="254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7" customHeight="1" s="22">
      <c r="A7" s="259" t="n"/>
      <c r="B7" s="260">
        <f>IFERROR(VLOOKUP(A7,Productos!$A$5:$C$64,3,FALSE),IF(A7="","— ingresa código —","Código no encontrado"))</f>
        <v/>
      </c>
      <c r="C7" s="261" t="n">
        <v>1</v>
      </c>
      <c r="D7" s="262" t="n"/>
      <c r="E7" s="262" t="n"/>
      <c r="F7" s="262" t="n"/>
      <c r="G7" s="262" t="n"/>
      <c r="H7" s="262" t="n"/>
      <c r="I7" s="263" t="n"/>
      <c r="J7" s="264">
        <f>IFERROR(IF(A7="","",MIN(D7:H7)*C7),"")</f>
        <v/>
      </c>
      <c r="K7" s="265">
        <f>IFERROR(IF(A7="","",AVERAGE(D7:H7)*C7),"")</f>
        <v/>
      </c>
      <c r="L7" s="266">
        <f>IFERROR(IF(A7="","",MAX(D7:H7)*C7),"")</f>
        <v/>
      </c>
      <c r="M7" s="254" t="n"/>
      <c r="N7" s="254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7" customHeight="1" s="22">
      <c r="A8" s="259" t="n"/>
      <c r="B8" s="267">
        <f>IFERROR(VLOOKUP(A8,Productos!$A$5:$C$64,3,FALSE),IF(A8="","— ingresa código —","Código no encontrado"))</f>
        <v/>
      </c>
      <c r="C8" s="261" t="n">
        <v>1</v>
      </c>
      <c r="D8" s="268" t="n"/>
      <c r="E8" s="268" t="n"/>
      <c r="F8" s="268" t="n"/>
      <c r="G8" s="268" t="n"/>
      <c r="H8" s="268" t="n"/>
      <c r="I8" s="263" t="n"/>
      <c r="J8" s="264">
        <f>IFERROR(IF(A8="","",MIN(D8:H8)*C8),"")</f>
        <v/>
      </c>
      <c r="K8" s="269">
        <f>IFERROR(IF(A8="","",AVERAGE(D8:H8)*C8),"")</f>
        <v/>
      </c>
      <c r="L8" s="266">
        <f>IFERROR(IF(A8="","",MAX(D8:H8)*C8),"")</f>
        <v/>
      </c>
      <c r="M8" s="254" t="n"/>
      <c r="N8" s="254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 ht="17" customHeight="1" s="22">
      <c r="A9" s="259" t="n"/>
      <c r="B9" s="260">
        <f>IFERROR(VLOOKUP(A9,Productos!$A$5:$C$64,3,FALSE),IF(A9="","— ingresa código —","Código no encontrado"))</f>
        <v/>
      </c>
      <c r="C9" s="261" t="n">
        <v>1</v>
      </c>
      <c r="D9" s="262" t="n"/>
      <c r="E9" s="262" t="n"/>
      <c r="F9" s="262" t="n"/>
      <c r="G9" s="262" t="n"/>
      <c r="H9" s="262" t="n"/>
      <c r="I9" s="263" t="n"/>
      <c r="J9" s="264">
        <f>IFERROR(IF(A9="","",MIN(D9:H9)*C9),"")</f>
        <v/>
      </c>
      <c r="K9" s="265">
        <f>IFERROR(IF(A9="","",AVERAGE(D9:H9)*C9),"")</f>
        <v/>
      </c>
      <c r="L9" s="266">
        <f>IFERROR(IF(A9="","",MAX(D9:H9)*C9),"")</f>
        <v/>
      </c>
      <c r="M9" s="254" t="n"/>
      <c r="N9" s="254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17" customHeight="1" s="22">
      <c r="A10" s="259" t="n"/>
      <c r="B10" s="267">
        <f>IFERROR(VLOOKUP(A10,Productos!$A$5:$C$64,3,FALSE),IF(A10="","— ingresa código —","Código no encontrado"))</f>
        <v/>
      </c>
      <c r="C10" s="261" t="n">
        <v>1</v>
      </c>
      <c r="D10" s="268" t="n"/>
      <c r="E10" s="268" t="n"/>
      <c r="F10" s="268" t="n"/>
      <c r="G10" s="268" t="n"/>
      <c r="H10" s="268" t="n"/>
      <c r="I10" s="263" t="n"/>
      <c r="J10" s="264">
        <f>IFERROR(IF(A10="","",MIN(D10:H10)*C10),"")</f>
        <v/>
      </c>
      <c r="K10" s="269">
        <f>IFERROR(IF(A10="","",AVERAGE(D10:H10)*C10),"")</f>
        <v/>
      </c>
      <c r="L10" s="266">
        <f>IFERROR(IF(A10="","",MAX(D10:H10)*C10),"")</f>
        <v/>
      </c>
      <c r="M10" s="254" t="n"/>
      <c r="N10" s="254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17" customHeight="1" s="22">
      <c r="A11" s="259" t="n"/>
      <c r="B11" s="260">
        <f>IFERROR(VLOOKUP(A11,Productos!$A$5:$C$64,3,FALSE),IF(A11="","— ingresa código —","Código no encontrado"))</f>
        <v/>
      </c>
      <c r="C11" s="261" t="n">
        <v>1</v>
      </c>
      <c r="D11" s="262" t="n"/>
      <c r="E11" s="262" t="n"/>
      <c r="F11" s="262" t="n"/>
      <c r="G11" s="262" t="n"/>
      <c r="H11" s="262" t="n"/>
      <c r="I11" s="263" t="n"/>
      <c r="J11" s="264">
        <f>IFERROR(IF(A11="","",MIN(D11:H11)*C11),"")</f>
        <v/>
      </c>
      <c r="K11" s="265">
        <f>IFERROR(IF(A11="","",AVERAGE(D11:H11)*C11),"")</f>
        <v/>
      </c>
      <c r="L11" s="266">
        <f>IFERROR(IF(A11="","",MAX(D11:H11)*C11),"")</f>
        <v/>
      </c>
      <c r="M11" s="254" t="n"/>
      <c r="N11" s="254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 ht="17" customHeight="1" s="22">
      <c r="A12" s="259" t="n"/>
      <c r="B12" s="267">
        <f>IFERROR(VLOOKUP(A12,Productos!$A$5:$C$64,3,FALSE),IF(A12="","— ingresa código —","Código no encontrado"))</f>
        <v/>
      </c>
      <c r="C12" s="261" t="n">
        <v>1</v>
      </c>
      <c r="D12" s="268" t="n"/>
      <c r="E12" s="268" t="n"/>
      <c r="F12" s="268" t="n"/>
      <c r="G12" s="268" t="n"/>
      <c r="H12" s="268" t="n"/>
      <c r="I12" s="263" t="n"/>
      <c r="J12" s="264">
        <f>IFERROR(IF(A12="","",MIN(D12:H12)*C12),"")</f>
        <v/>
      </c>
      <c r="K12" s="269">
        <f>IFERROR(IF(A12="","",AVERAGE(D12:H12)*C12),"")</f>
        <v/>
      </c>
      <c r="L12" s="266">
        <f>IFERROR(IF(A12="","",MAX(D12:H12)*C12),"")</f>
        <v/>
      </c>
      <c r="M12" s="254" t="n"/>
      <c r="N12" s="254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 ht="17" customHeight="1" s="22">
      <c r="A13" s="259" t="n"/>
      <c r="B13" s="260">
        <f>IFERROR(VLOOKUP(A13,Productos!$A$5:$C$64,3,FALSE),IF(A13="","— ingresa código —","Código no encontrado"))</f>
        <v/>
      </c>
      <c r="C13" s="261" t="n">
        <v>1</v>
      </c>
      <c r="D13" s="262" t="n"/>
      <c r="E13" s="262" t="n"/>
      <c r="F13" s="262" t="n"/>
      <c r="G13" s="262" t="n"/>
      <c r="H13" s="262" t="n"/>
      <c r="I13" s="263" t="n"/>
      <c r="J13" s="264">
        <f>IFERROR(IF(A13="","",MIN(D13:H13)*C13),"")</f>
        <v/>
      </c>
      <c r="K13" s="265">
        <f>IFERROR(IF(A13="","",AVERAGE(D13:H13)*C13),"")</f>
        <v/>
      </c>
      <c r="L13" s="266">
        <f>IFERROR(IF(A13="","",MAX(D13:H13)*C13),"")</f>
        <v/>
      </c>
      <c r="M13" s="254" t="n"/>
      <c r="N13" s="254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 ht="17" customHeight="1" s="22">
      <c r="A14" s="259" t="n"/>
      <c r="B14" s="267">
        <f>IFERROR(VLOOKUP(A14,Productos!$A$5:$C$64,3,FALSE),IF(A14="","— ingresa código —","Código no encontrado"))</f>
        <v/>
      </c>
      <c r="C14" s="261" t="n">
        <v>1</v>
      </c>
      <c r="D14" s="268" t="n"/>
      <c r="E14" s="268" t="n"/>
      <c r="F14" s="268" t="n"/>
      <c r="G14" s="268" t="n"/>
      <c r="H14" s="268" t="n"/>
      <c r="I14" s="263" t="n"/>
      <c r="J14" s="264">
        <f>IFERROR(IF(A14="","",MIN(D14:H14)*C14),"")</f>
        <v/>
      </c>
      <c r="K14" s="269">
        <f>IFERROR(IF(A14="","",AVERAGE(D14:H14)*C14),"")</f>
        <v/>
      </c>
      <c r="L14" s="266">
        <f>IFERROR(IF(A14="","",MAX(D14:H14)*C14),"")</f>
        <v/>
      </c>
      <c r="M14" s="254" t="n"/>
      <c r="N14" s="254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 ht="17" customHeight="1" s="22">
      <c r="A15" s="259" t="n"/>
      <c r="B15" s="260">
        <f>IFERROR(VLOOKUP(A15,Productos!$A$5:$C$64,3,FALSE),IF(A15="","— ingresa código —","Código no encontrado"))</f>
        <v/>
      </c>
      <c r="C15" s="261" t="n">
        <v>1</v>
      </c>
      <c r="D15" s="262" t="n"/>
      <c r="E15" s="262" t="n"/>
      <c r="F15" s="262" t="n"/>
      <c r="G15" s="262" t="n"/>
      <c r="H15" s="262" t="n"/>
      <c r="I15" s="270" t="n"/>
      <c r="J15" s="264">
        <f>IFERROR(IF(A15="","",MIN(D15:H15)*C15),"")</f>
        <v/>
      </c>
      <c r="K15" s="265">
        <f>IFERROR(IF(A15="","",AVERAGE(D15:H15)*C15),"")</f>
        <v/>
      </c>
      <c r="L15" s="266">
        <f>IFERROR(IF(A15="","",MAX(D15:H15)*C15),"")</f>
        <v/>
      </c>
      <c r="M15" s="254" t="n"/>
      <c r="N15" s="254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17" customHeight="1" s="22">
      <c r="A16" s="259" t="n"/>
      <c r="B16" s="267">
        <f>IFERROR(VLOOKUP(A16,Productos!$A$5:$C$64,3,FALSE),IF(A16="","— ingresa código —","Código no encontrado"))</f>
        <v/>
      </c>
      <c r="C16" s="261" t="n">
        <v>1</v>
      </c>
      <c r="D16" s="268" t="n"/>
      <c r="E16" s="268" t="n"/>
      <c r="F16" s="268" t="n"/>
      <c r="G16" s="268" t="n"/>
      <c r="H16" s="268" t="n"/>
      <c r="I16" s="270" t="n"/>
      <c r="J16" s="264">
        <f>IFERROR(IF(A16="","",MIN(D16:H16)*C16),"")</f>
        <v/>
      </c>
      <c r="K16" s="269">
        <f>IFERROR(IF(A16="","",AVERAGE(D16:H16)*C16),"")</f>
        <v/>
      </c>
      <c r="L16" s="266">
        <f>IFERROR(IF(A16="","",MAX(D16:H16)*C16),"")</f>
        <v/>
      </c>
      <c r="M16" s="254" t="n"/>
      <c r="N16" s="254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 ht="17" customHeight="1" s="22">
      <c r="A17" s="259" t="n"/>
      <c r="B17" s="260">
        <f>IFERROR(VLOOKUP(A17,Productos!$A$5:$C$64,3,FALSE),IF(A17="","— ingresa código —","Código no encontrado"))</f>
        <v/>
      </c>
      <c r="C17" s="261" t="n">
        <v>1</v>
      </c>
      <c r="D17" s="262" t="n"/>
      <c r="E17" s="262" t="n"/>
      <c r="F17" s="262" t="n"/>
      <c r="G17" s="262" t="n"/>
      <c r="H17" s="262" t="n"/>
      <c r="I17" s="270" t="n"/>
      <c r="J17" s="264">
        <f>IFERROR(IF(A17="","",MIN(D17:H17)*C17),"")</f>
        <v/>
      </c>
      <c r="K17" s="265">
        <f>IFERROR(IF(A17="","",AVERAGE(D17:H17)*C17),"")</f>
        <v/>
      </c>
      <c r="L17" s="266">
        <f>IFERROR(IF(A17="","",MAX(D17:H17)*C17),"")</f>
        <v/>
      </c>
      <c r="M17" s="254" t="n"/>
      <c r="N17" s="254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 ht="17" customHeight="1" s="22">
      <c r="A18" s="259" t="n"/>
      <c r="B18" s="267">
        <f>IFERROR(VLOOKUP(A18,Productos!$A$5:$C$64,3,FALSE),IF(A18="","— ingresa código —","Código no encontrado"))</f>
        <v/>
      </c>
      <c r="C18" s="261" t="n">
        <v>1</v>
      </c>
      <c r="D18" s="268" t="n"/>
      <c r="E18" s="268" t="n"/>
      <c r="F18" s="268" t="n"/>
      <c r="G18" s="268" t="n"/>
      <c r="H18" s="268" t="n"/>
      <c r="I18" s="270" t="n"/>
      <c r="J18" s="264">
        <f>IFERROR(IF(A18="","",MIN(D18:H18)*C18),"")</f>
        <v/>
      </c>
      <c r="K18" s="269">
        <f>IFERROR(IF(A18="","",AVERAGE(D18:H18)*C18),"")</f>
        <v/>
      </c>
      <c r="L18" s="266">
        <f>IFERROR(IF(A18="","",MAX(D18:H18)*C18),"")</f>
        <v/>
      </c>
      <c r="M18" s="254" t="n"/>
      <c r="N18" s="254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17" customHeight="1" s="22">
      <c r="A19" s="259" t="n"/>
      <c r="B19" s="260">
        <f>IFERROR(VLOOKUP(A19,Productos!$A$5:$C$64,3,FALSE),IF(A19="","— ingresa código —","Código no encontrado"))</f>
        <v/>
      </c>
      <c r="C19" s="261" t="n">
        <v>1</v>
      </c>
      <c r="D19" s="262" t="n"/>
      <c r="E19" s="262" t="n"/>
      <c r="F19" s="262" t="n"/>
      <c r="G19" s="262" t="n"/>
      <c r="H19" s="262" t="n"/>
      <c r="I19" s="270" t="n"/>
      <c r="J19" s="264">
        <f>IFERROR(IF(A19="","",MIN(D19:H19)*C19),"")</f>
        <v/>
      </c>
      <c r="K19" s="265">
        <f>IFERROR(IF(A19="","",AVERAGE(D19:H19)*C19),"")</f>
        <v/>
      </c>
      <c r="L19" s="266">
        <f>IFERROR(IF(A19="","",MAX(D19:H19)*C19),"")</f>
        <v/>
      </c>
      <c r="M19" s="254" t="n"/>
      <c r="N19" s="254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 ht="17" customHeight="1" s="22">
      <c r="A20" s="259" t="n"/>
      <c r="B20" s="267">
        <f>IFERROR(VLOOKUP(A20,Productos!$A$5:$C$64,3,FALSE),IF(A20="","— ingresa código —","Código no encontrado"))</f>
        <v/>
      </c>
      <c r="C20" s="261" t="n">
        <v>1</v>
      </c>
      <c r="D20" s="268" t="n"/>
      <c r="E20" s="268" t="n"/>
      <c r="F20" s="268" t="n"/>
      <c r="G20" s="268" t="n"/>
      <c r="H20" s="268" t="n"/>
      <c r="I20" s="270" t="n"/>
      <c r="J20" s="264">
        <f>IFERROR(IF(A20="","",MIN(D20:H20)*C20),"")</f>
        <v/>
      </c>
      <c r="K20" s="269">
        <f>IFERROR(IF(A20="","",AVERAGE(D20:H20)*C20),"")</f>
        <v/>
      </c>
      <c r="L20" s="266">
        <f>IFERROR(IF(A20="","",MAX(D20:H20)*C20),"")</f>
        <v/>
      </c>
      <c r="M20" s="254" t="n"/>
      <c r="N20" s="254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 ht="17" customHeight="1" s="22">
      <c r="A21" s="259" t="n"/>
      <c r="B21" s="260">
        <f>IFERROR(VLOOKUP(A21,Productos!$A$5:$C$64,3,FALSE),IF(A21="","— ingresa código —","Código no encontrado"))</f>
        <v/>
      </c>
      <c r="C21" s="261" t="n">
        <v>1</v>
      </c>
      <c r="D21" s="262" t="n"/>
      <c r="E21" s="262" t="n"/>
      <c r="F21" s="262" t="n"/>
      <c r="G21" s="262" t="n"/>
      <c r="H21" s="262" t="n"/>
      <c r="I21" s="270" t="n"/>
      <c r="J21" s="264">
        <f>IFERROR(IF(A21="","",MIN(D21:H21)*C21),"")</f>
        <v/>
      </c>
      <c r="K21" s="265">
        <f>IFERROR(IF(A21="","",AVERAGE(D21:H21)*C21),"")</f>
        <v/>
      </c>
      <c r="L21" s="266">
        <f>IFERROR(IF(A21="","",MAX(D21:H21)*C21),"")</f>
        <v/>
      </c>
      <c r="M21" s="254" t="n"/>
      <c r="N21" s="254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16" customHeight="1" s="22">
      <c r="A22" s="254" t="n"/>
      <c r="B22" s="254" t="n"/>
      <c r="C22" s="254" t="n"/>
      <c r="D22" s="254" t="n"/>
      <c r="E22" s="254" t="n"/>
      <c r="F22" s="254" t="n"/>
      <c r="G22" s="254" t="n"/>
      <c r="H22" s="254" t="n"/>
      <c r="I22" s="254" t="n"/>
      <c r="J22" s="254" t="n"/>
      <c r="K22" s="254" t="n"/>
      <c r="L22" s="254" t="n"/>
      <c r="M22" s="254" t="n"/>
      <c r="N22" s="254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20" customHeight="1" s="22">
      <c r="A23" s="271" t="inlineStr">
        <is>
          <t>AHORRO POTENCIAL</t>
        </is>
      </c>
      <c r="D23" s="272" t="n"/>
      <c r="E23" s="272" t="n"/>
      <c r="F23" s="272" t="n"/>
      <c r="G23" s="272" t="n"/>
      <c r="H23" s="272" t="n"/>
      <c r="I23" s="272" t="n"/>
      <c r="J23" s="273">
        <f>SUM(J7:J22)</f>
        <v/>
      </c>
      <c r="K23" s="274">
        <f>SUM(K7:K22)</f>
        <v/>
      </c>
      <c r="L23" s="275">
        <f>SUM(L7:L22)</f>
        <v/>
      </c>
      <c r="M23" s="254" t="n"/>
      <c r="N23" s="254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18" customHeight="1" s="22">
      <c r="A24" s="276" t="inlineStr">
        <is>
          <t>Diferencia mejor vs peor</t>
        </is>
      </c>
      <c r="D24" s="254" t="n"/>
      <c r="E24" s="254" t="n"/>
      <c r="F24" s="254" t="n"/>
      <c r="G24" s="254" t="n"/>
      <c r="H24" s="254" t="n"/>
      <c r="I24" s="254" t="n"/>
      <c r="J24" s="277">
        <f>L23-J23</f>
        <v/>
      </c>
      <c r="K24" s="254" t="n"/>
      <c r="L24" s="278">
        <f>IFERROR((L23-J23)/L23,0)</f>
        <v/>
      </c>
      <c r="M24" s="254" t="n"/>
      <c r="N24" s="254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 ht="16" customHeight="1" s="22">
      <c r="A25" s="254" t="n"/>
      <c r="B25" s="254" t="n"/>
      <c r="C25" s="254" t="n"/>
      <c r="D25" s="254" t="n"/>
      <c r="E25" s="254" t="n"/>
      <c r="F25" s="254" t="n"/>
      <c r="G25" s="254" t="n"/>
      <c r="H25" s="254" t="n"/>
      <c r="I25" s="254" t="n"/>
      <c r="J25" s="254" t="n"/>
      <c r="K25" s="254" t="n"/>
      <c r="L25" s="254" t="n"/>
      <c r="M25" s="254" t="n"/>
      <c r="N25" s="254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 ht="16" customHeight="1" s="22">
      <c r="A26" s="254" t="n"/>
      <c r="B26" s="254" t="n"/>
      <c r="C26" s="254" t="n"/>
      <c r="D26" s="254" t="n"/>
      <c r="E26" s="254" t="n"/>
      <c r="F26" s="254" t="n"/>
      <c r="G26" s="254" t="n"/>
      <c r="H26" s="254" t="n"/>
      <c r="I26" s="254" t="n"/>
      <c r="J26" s="254" t="n"/>
      <c r="K26" s="254" t="n"/>
      <c r="L26" s="254" t="n"/>
      <c r="M26" s="254" t="n"/>
      <c r="N26" s="254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 ht="16" customHeight="1" s="22">
      <c r="A27" s="254" t="n"/>
      <c r="B27" s="254" t="n"/>
      <c r="C27" s="254" t="n"/>
      <c r="D27" s="254" t="n"/>
      <c r="E27" s="254" t="n"/>
      <c r="F27" s="254" t="n"/>
      <c r="G27" s="254" t="n"/>
      <c r="H27" s="254" t="n"/>
      <c r="I27" s="254" t="n"/>
      <c r="J27" s="254" t="n"/>
      <c r="K27" s="254" t="n"/>
      <c r="L27" s="254" t="n"/>
      <c r="M27" s="254" t="n"/>
      <c r="N27" s="254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 ht="16" customHeight="1" s="22">
      <c r="A28" s="254" t="n"/>
      <c r="B28" s="254" t="n"/>
      <c r="C28" s="254" t="n"/>
      <c r="D28" s="254" t="n"/>
      <c r="E28" s="254" t="n"/>
      <c r="F28" s="254" t="n"/>
      <c r="G28" s="254" t="n"/>
      <c r="H28" s="254" t="n"/>
      <c r="I28" s="254" t="n"/>
      <c r="J28" s="254" t="n"/>
      <c r="K28" s="254" t="n"/>
      <c r="L28" s="254" t="n"/>
      <c r="M28" s="254" t="n"/>
      <c r="N28" s="254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16" customHeight="1" s="22">
      <c r="A29" s="254" t="n"/>
      <c r="B29" s="254" t="n"/>
      <c r="C29" s="254" t="n"/>
      <c r="D29" s="254" t="n"/>
      <c r="E29" s="254" t="n"/>
      <c r="F29" s="254" t="n"/>
      <c r="G29" s="254" t="n"/>
      <c r="H29" s="254" t="n"/>
      <c r="I29" s="254" t="n"/>
      <c r="J29" s="254" t="n"/>
      <c r="K29" s="254" t="n"/>
      <c r="L29" s="254" t="n"/>
      <c r="M29" s="254" t="n"/>
      <c r="N29" s="254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 ht="16" customHeight="1" s="22">
      <c r="A30" s="254" t="n"/>
      <c r="B30" s="254" t="n"/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 ht="16" customHeight="1" s="22">
      <c r="A31" s="254" t="n"/>
      <c r="B31" s="254" t="n"/>
      <c r="C31" s="254" t="n"/>
      <c r="D31" s="254" t="n"/>
      <c r="E31" s="254" t="n"/>
      <c r="F31" s="254" t="n"/>
      <c r="G31" s="254" t="n"/>
      <c r="H31" s="254" t="n"/>
      <c r="I31" s="254" t="n"/>
      <c r="J31" s="254" t="n"/>
      <c r="K31" s="254" t="n"/>
      <c r="L31" s="254" t="n"/>
      <c r="M31" s="254" t="n"/>
      <c r="N31" s="254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 ht="16" customHeight="1" s="22">
      <c r="A32" s="254" t="n"/>
      <c r="B32" s="254" t="n"/>
      <c r="C32" s="254" t="n"/>
      <c r="D32" s="254" t="n"/>
      <c r="E32" s="254" t="n"/>
      <c r="F32" s="254" t="n"/>
      <c r="G32" s="254" t="n"/>
      <c r="H32" s="254" t="n"/>
      <c r="I32" s="254" t="n"/>
      <c r="J32" s="254" t="n"/>
      <c r="K32" s="254" t="n"/>
      <c r="L32" s="254" t="n"/>
      <c r="M32" s="254" t="n"/>
      <c r="N32" s="254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 ht="16" customHeight="1" s="22">
      <c r="A33" s="254" t="n"/>
      <c r="B33" s="254" t="n"/>
      <c r="C33" s="254" t="n"/>
      <c r="D33" s="254" t="n"/>
      <c r="E33" s="254" t="n"/>
      <c r="F33" s="254" t="n"/>
      <c r="G33" s="254" t="n"/>
      <c r="H33" s="254" t="n"/>
      <c r="I33" s="254" t="n"/>
      <c r="J33" s="254" t="n"/>
      <c r="K33" s="254" t="n"/>
      <c r="L33" s="254" t="n"/>
      <c r="M33" s="254" t="n"/>
      <c r="N33" s="254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 ht="16" customHeight="1" s="22">
      <c r="A34" s="254" t="n"/>
      <c r="B34" s="254" t="n"/>
      <c r="C34" s="254" t="n"/>
      <c r="D34" s="254" t="n"/>
      <c r="E34" s="254" t="n"/>
      <c r="F34" s="254" t="n"/>
      <c r="G34" s="254" t="n"/>
      <c r="H34" s="254" t="n"/>
      <c r="I34" s="254" t="n"/>
      <c r="J34" s="254" t="n"/>
      <c r="K34" s="254" t="n"/>
      <c r="L34" s="254" t="n"/>
      <c r="M34" s="254" t="n"/>
      <c r="N34" s="254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16" customHeight="1" s="22">
      <c r="A35" s="254" t="n"/>
      <c r="B35" s="254" t="n"/>
      <c r="C35" s="254" t="n"/>
      <c r="D35" s="254" t="n"/>
      <c r="E35" s="254" t="n"/>
      <c r="F35" s="254" t="n"/>
      <c r="G35" s="254" t="n"/>
      <c r="H35" s="254" t="n"/>
      <c r="I35" s="254" t="n"/>
      <c r="J35" s="254" t="n"/>
      <c r="K35" s="254" t="n"/>
      <c r="L35" s="254" t="n"/>
      <c r="M35" s="254" t="n"/>
      <c r="N35" s="254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16" customHeight="1" s="22">
      <c r="A36" s="254" t="n"/>
      <c r="B36" s="254" t="n"/>
      <c r="C36" s="254" t="n"/>
      <c r="D36" s="254" t="n"/>
      <c r="E36" s="254" t="n"/>
      <c r="F36" s="254" t="n"/>
      <c r="G36" s="254" t="n"/>
      <c r="H36" s="254" t="n"/>
      <c r="I36" s="254" t="n"/>
      <c r="J36" s="254" t="n"/>
      <c r="K36" s="254" t="n"/>
      <c r="L36" s="254" t="n"/>
      <c r="M36" s="254" t="n"/>
      <c r="N36" s="254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16" customHeight="1" s="22">
      <c r="A37" s="254" t="n"/>
      <c r="B37" s="254" t="n"/>
      <c r="C37" s="254" t="n"/>
      <c r="D37" s="254" t="n"/>
      <c r="E37" s="254" t="n"/>
      <c r="F37" s="254" t="n"/>
      <c r="G37" s="254" t="n"/>
      <c r="H37" s="254" t="n"/>
      <c r="I37" s="254" t="n"/>
      <c r="J37" s="254" t="n"/>
      <c r="K37" s="254" t="n"/>
      <c r="L37" s="254" t="n"/>
      <c r="M37" s="254" t="n"/>
      <c r="N37" s="254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16" customHeight="1" s="22">
      <c r="A38" s="254" t="n"/>
      <c r="B38" s="254" t="n"/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16" customHeight="1" s="22">
      <c r="A39" s="254" t="n"/>
      <c r="B39" s="254" t="n"/>
      <c r="C39" s="254" t="n"/>
      <c r="D39" s="254" t="n"/>
      <c r="E39" s="254" t="n"/>
      <c r="F39" s="254" t="n"/>
      <c r="G39" s="254" t="n"/>
      <c r="H39" s="254" t="n"/>
      <c r="I39" s="254" t="n"/>
      <c r="J39" s="254" t="n"/>
      <c r="K39" s="254" t="n"/>
      <c r="L39" s="254" t="n"/>
      <c r="M39" s="254" t="n"/>
      <c r="N39" s="25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16" customHeight="1" s="22">
      <c r="A40" s="254" t="n"/>
      <c r="B40" s="254" t="n"/>
      <c r="C40" s="254" t="n"/>
      <c r="D40" s="254" t="n"/>
      <c r="E40" s="254" t="n"/>
      <c r="F40" s="254" t="n"/>
      <c r="G40" s="254" t="n"/>
      <c r="H40" s="254" t="n"/>
      <c r="I40" s="254" t="n"/>
      <c r="J40" s="254" t="n"/>
      <c r="K40" s="254" t="n"/>
      <c r="L40" s="254" t="n"/>
      <c r="M40" s="254" t="n"/>
      <c r="N40" s="254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6" customHeight="1" s="22">
      <c r="A41" s="254" t="n"/>
      <c r="B41" s="254" t="n"/>
      <c r="C41" s="254" t="n"/>
      <c r="D41" s="254" t="n"/>
      <c r="E41" s="254" t="n"/>
      <c r="F41" s="254" t="n"/>
      <c r="G41" s="254" t="n"/>
      <c r="H41" s="254" t="n"/>
      <c r="I41" s="254" t="n"/>
      <c r="J41" s="254" t="n"/>
      <c r="K41" s="254" t="n"/>
      <c r="L41" s="254" t="n"/>
      <c r="M41" s="254" t="n"/>
      <c r="N41" s="254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16" customHeight="1" s="22">
      <c r="A42" s="254" t="n"/>
      <c r="B42" s="254" t="n"/>
      <c r="C42" s="254" t="n"/>
      <c r="D42" s="254" t="n"/>
      <c r="E42" s="254" t="n"/>
      <c r="F42" s="254" t="n"/>
      <c r="G42" s="254" t="n"/>
      <c r="H42" s="254" t="n"/>
      <c r="I42" s="254" t="n"/>
      <c r="J42" s="254" t="n"/>
      <c r="K42" s="254" t="n"/>
      <c r="L42" s="254" t="n"/>
      <c r="M42" s="254" t="n"/>
      <c r="N42" s="254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6" customHeight="1" s="22">
      <c r="A43" s="254" t="n"/>
      <c r="B43" s="254" t="n"/>
      <c r="C43" s="254" t="n"/>
      <c r="D43" s="254" t="n"/>
      <c r="E43" s="254" t="n"/>
      <c r="F43" s="254" t="n"/>
      <c r="G43" s="254" t="n"/>
      <c r="H43" s="254" t="n"/>
      <c r="I43" s="254" t="n"/>
      <c r="J43" s="254" t="n"/>
      <c r="K43" s="254" t="n"/>
      <c r="L43" s="254" t="n"/>
      <c r="M43" s="254" t="n"/>
      <c r="N43" s="254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6" customHeight="1" s="22">
      <c r="A44" s="254" t="n"/>
      <c r="B44" s="254" t="n"/>
      <c r="C44" s="254" t="n"/>
      <c r="D44" s="254" t="n"/>
      <c r="E44" s="254" t="n"/>
      <c r="F44" s="254" t="n"/>
      <c r="G44" s="254" t="n"/>
      <c r="H44" s="254" t="n"/>
      <c r="I44" s="254" t="n"/>
      <c r="J44" s="254" t="n"/>
      <c r="K44" s="254" t="n"/>
      <c r="L44" s="254" t="n"/>
      <c r="M44" s="254" t="n"/>
      <c r="N44" s="25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6" customHeight="1" s="22">
      <c r="A45" s="254" t="n"/>
      <c r="B45" s="254" t="n"/>
      <c r="C45" s="254" t="n"/>
      <c r="D45" s="254" t="n"/>
      <c r="E45" s="254" t="n"/>
      <c r="F45" s="254" t="n"/>
      <c r="G45" s="254" t="n"/>
      <c r="H45" s="254" t="n"/>
      <c r="I45" s="254" t="n"/>
      <c r="J45" s="254" t="n"/>
      <c r="K45" s="254" t="n"/>
      <c r="L45" s="254" t="n"/>
      <c r="M45" s="254" t="n"/>
      <c r="N45" s="254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6" customHeight="1" s="22">
      <c r="A46" s="254" t="n"/>
      <c r="B46" s="254" t="n"/>
      <c r="C46" s="254" t="n"/>
      <c r="D46" s="254" t="n"/>
      <c r="E46" s="254" t="n"/>
      <c r="F46" s="254" t="n"/>
      <c r="G46" s="254" t="n"/>
      <c r="H46" s="254" t="n"/>
      <c r="I46" s="254" t="n"/>
      <c r="J46" s="254" t="n"/>
      <c r="K46" s="254" t="n"/>
      <c r="L46" s="254" t="n"/>
      <c r="M46" s="254" t="n"/>
      <c r="N46" s="254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6" customHeight="1" s="22">
      <c r="A47" s="254" t="n"/>
      <c r="B47" s="254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4" t="n"/>
      <c r="L47" s="254" t="n"/>
      <c r="M47" s="254" t="n"/>
      <c r="N47" s="254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16" customHeight="1" s="22">
      <c r="A48" s="254" t="n"/>
      <c r="B48" s="254" t="n"/>
      <c r="C48" s="254" t="n"/>
      <c r="D48" s="254" t="n"/>
      <c r="E48" s="254" t="n"/>
      <c r="F48" s="254" t="n"/>
      <c r="G48" s="254" t="n"/>
      <c r="H48" s="254" t="n"/>
      <c r="I48" s="254" t="n"/>
      <c r="J48" s="254" t="n"/>
      <c r="K48" s="254" t="n"/>
      <c r="L48" s="254" t="n"/>
      <c r="M48" s="254" t="n"/>
      <c r="N48" s="254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6" customHeight="1" s="22">
      <c r="A49" s="254" t="n"/>
      <c r="B49" s="254" t="n"/>
      <c r="C49" s="254" t="n"/>
      <c r="D49" s="254" t="n"/>
      <c r="E49" s="254" t="n"/>
      <c r="F49" s="254" t="n"/>
      <c r="G49" s="254" t="n"/>
      <c r="H49" s="254" t="n"/>
      <c r="I49" s="254" t="n"/>
      <c r="J49" s="254" t="n"/>
      <c r="K49" s="254" t="n"/>
      <c r="L49" s="254" t="n"/>
      <c r="M49" s="254" t="n"/>
      <c r="N49" s="254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 ht="16" customHeight="1" s="22">
      <c r="A50" s="254" t="n"/>
      <c r="B50" s="254" t="n"/>
      <c r="C50" s="254" t="n"/>
      <c r="D50" s="254" t="n"/>
      <c r="E50" s="254" t="n"/>
      <c r="F50" s="254" t="n"/>
      <c r="G50" s="254" t="n"/>
      <c r="H50" s="254" t="n"/>
      <c r="I50" s="254" t="n"/>
      <c r="J50" s="254" t="n"/>
      <c r="K50" s="254" t="n"/>
      <c r="L50" s="254" t="n"/>
      <c r="M50" s="254" t="n"/>
      <c r="N50" s="25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 ht="16" customHeight="1" s="22">
      <c r="A51" s="254" t="n"/>
      <c r="B51" s="254" t="n"/>
      <c r="C51" s="254" t="n"/>
      <c r="D51" s="254" t="n"/>
      <c r="E51" s="254" t="n"/>
      <c r="F51" s="254" t="n"/>
      <c r="G51" s="254" t="n"/>
      <c r="H51" s="254" t="n"/>
      <c r="I51" s="254" t="n"/>
      <c r="J51" s="254" t="n"/>
      <c r="K51" s="254" t="n"/>
      <c r="L51" s="254" t="n"/>
      <c r="M51" s="254" t="n"/>
      <c r="N51" s="254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 ht="16" customHeight="1" s="22">
      <c r="A52" s="254" t="n"/>
      <c r="B52" s="254" t="n"/>
      <c r="C52" s="254" t="n"/>
      <c r="D52" s="254" t="n"/>
      <c r="E52" s="254" t="n"/>
      <c r="F52" s="254" t="n"/>
      <c r="G52" s="254" t="n"/>
      <c r="H52" s="254" t="n"/>
      <c r="I52" s="254" t="n"/>
      <c r="J52" s="254" t="n"/>
      <c r="K52" s="254" t="n"/>
      <c r="L52" s="254" t="n"/>
      <c r="M52" s="254" t="n"/>
      <c r="N52" s="254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 ht="16" customHeight="1" s="22">
      <c r="A53" s="254" t="n"/>
      <c r="B53" s="254" t="n"/>
      <c r="C53" s="254" t="n"/>
      <c r="D53" s="254" t="n"/>
      <c r="E53" s="254" t="n"/>
      <c r="F53" s="254" t="n"/>
      <c r="G53" s="254" t="n"/>
      <c r="H53" s="254" t="n"/>
      <c r="I53" s="254" t="n"/>
      <c r="J53" s="254" t="n"/>
      <c r="K53" s="254" t="n"/>
      <c r="L53" s="254" t="n"/>
      <c r="M53" s="254" t="n"/>
      <c r="N53" s="254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 ht="16" customHeight="1" s="22">
      <c r="A54" s="254" t="n"/>
      <c r="B54" s="254" t="n"/>
      <c r="C54" s="254" t="n"/>
      <c r="D54" s="254" t="n"/>
      <c r="E54" s="254" t="n"/>
      <c r="F54" s="254" t="n"/>
      <c r="G54" s="254" t="n"/>
      <c r="H54" s="254" t="n"/>
      <c r="I54" s="254" t="n"/>
      <c r="J54" s="254" t="n"/>
      <c r="K54" s="254" t="n"/>
      <c r="L54" s="254" t="n"/>
      <c r="M54" s="254" t="n"/>
      <c r="N54" s="254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 ht="16" customHeight="1" s="22">
      <c r="A55" s="254" t="n"/>
      <c r="B55" s="254" t="n"/>
      <c r="C55" s="254" t="n"/>
      <c r="D55" s="254" t="n"/>
      <c r="E55" s="254" t="n"/>
      <c r="F55" s="254" t="n"/>
      <c r="G55" s="254" t="n"/>
      <c r="H55" s="254" t="n"/>
      <c r="I55" s="254" t="n"/>
      <c r="J55" s="254" t="n"/>
      <c r="K55" s="254" t="n"/>
      <c r="L55" s="254" t="n"/>
      <c r="M55" s="254" t="n"/>
      <c r="N55" s="254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 ht="16" customHeight="1" s="22">
      <c r="A56" s="254" t="n"/>
      <c r="B56" s="254" t="n"/>
      <c r="C56" s="254" t="n"/>
      <c r="D56" s="254" t="n"/>
      <c r="E56" s="254" t="n"/>
      <c r="F56" s="254" t="n"/>
      <c r="G56" s="254" t="n"/>
      <c r="H56" s="254" t="n"/>
      <c r="I56" s="254" t="n"/>
      <c r="J56" s="254" t="n"/>
      <c r="K56" s="254" t="n"/>
      <c r="L56" s="254" t="n"/>
      <c r="M56" s="254" t="n"/>
      <c r="N56" s="254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 ht="16" customHeight="1" s="22">
      <c r="A57" s="254" t="n"/>
      <c r="B57" s="254" t="n"/>
      <c r="C57" s="254" t="n"/>
      <c r="D57" s="254" t="n"/>
      <c r="E57" s="254" t="n"/>
      <c r="F57" s="254" t="n"/>
      <c r="G57" s="254" t="n"/>
      <c r="H57" s="254" t="n"/>
      <c r="I57" s="254" t="n"/>
      <c r="J57" s="254" t="n"/>
      <c r="K57" s="254" t="n"/>
      <c r="L57" s="254" t="n"/>
      <c r="M57" s="254" t="n"/>
      <c r="N57" s="254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 ht="16" customHeight="1" s="22">
      <c r="A58" s="254" t="n"/>
      <c r="B58" s="254" t="n"/>
      <c r="C58" s="254" t="n"/>
      <c r="D58" s="254" t="n"/>
      <c r="E58" s="254" t="n"/>
      <c r="F58" s="254" t="n"/>
      <c r="G58" s="254" t="n"/>
      <c r="H58" s="254" t="n"/>
      <c r="I58" s="254" t="n"/>
      <c r="J58" s="254" t="n"/>
      <c r="K58" s="254" t="n"/>
      <c r="L58" s="254" t="n"/>
      <c r="M58" s="254" t="n"/>
      <c r="N58" s="254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 ht="16" customHeight="1" s="22">
      <c r="A59" s="254" t="n"/>
      <c r="B59" s="254" t="n"/>
      <c r="C59" s="254" t="n"/>
      <c r="D59" s="254" t="n"/>
      <c r="E59" s="254" t="n"/>
      <c r="F59" s="254" t="n"/>
      <c r="G59" s="254" t="n"/>
      <c r="H59" s="254" t="n"/>
      <c r="I59" s="254" t="n"/>
      <c r="J59" s="254" t="n"/>
      <c r="K59" s="254" t="n"/>
      <c r="L59" s="254" t="n"/>
      <c r="M59" s="254" t="n"/>
      <c r="N59" s="254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4">
    <mergeCell ref="B4:L4"/>
    <mergeCell ref="A2:L2"/>
    <mergeCell ref="A23:C23"/>
    <mergeCell ref="A24:C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2026-04-10T22:11:16Z</dcterms:created>
  <dcterms:modified xsi:type="dcterms:W3CDTF">2026-05-01T02:52:35Z</dcterms:modified>
  <cp:lastModifiedBy>202437656</cp:lastModifiedBy>
</cp:coreProperties>
</file>